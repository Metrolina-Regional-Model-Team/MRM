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L:\Employee\DAP\Documentation\"/>
    </mc:Choice>
  </mc:AlternateContent>
  <xr:revisionPtr revIDLastSave="0" documentId="13_ncr:1_{3391604D-7CFD-4D67-B3CF-86722A8845DD}" xr6:coauthVersionLast="47" xr6:coauthVersionMax="47" xr10:uidLastSave="{00000000-0000-0000-0000-000000000000}"/>
  <bookViews>
    <workbookView xWindow="-120" yWindow="-120" windowWidth="29040" windowHeight="15720" xr2:uid="{3A1C30AB-F8D3-4A56-9DBB-1BE20D40B24B}"/>
  </bookViews>
  <sheets>
    <sheet name="Anson3.1" sheetId="13" r:id="rId1"/>
    <sheet name="Cabarrus3.2" sheetId="1" r:id="rId2"/>
    <sheet name="Rowan3.3" sheetId="2" r:id="rId3"/>
    <sheet name="Iredell3.4" sheetId="3" r:id="rId4"/>
    <sheet name="Mecklenburg3.5" sheetId="4" r:id="rId5"/>
    <sheet name="Union3.6" sheetId="5" r:id="rId6"/>
    <sheet name="Stanly3.7" sheetId="6" r:id="rId7"/>
    <sheet name="Cleveland3.8" sheetId="7" r:id="rId8"/>
    <sheet name="Gaston3.9" sheetId="8" r:id="rId9"/>
    <sheet name="Lincoln3.10" sheetId="9" r:id="rId10"/>
    <sheet name="Lancaster3.11" sheetId="10" r:id="rId11"/>
    <sheet name="York3.12" sheetId="11" r:id="rId12"/>
    <sheet name="Catawba3.13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3" l="1"/>
  <c r="F26" i="13"/>
  <c r="E26" i="13"/>
  <c r="D26" i="13"/>
  <c r="D28" i="13" s="1"/>
  <c r="C26" i="13"/>
  <c r="D27" i="13" s="1"/>
  <c r="B26" i="13"/>
  <c r="C28" i="13" s="1"/>
  <c r="E21" i="13"/>
  <c r="G19" i="13"/>
  <c r="F19" i="13"/>
  <c r="F21" i="13" s="1"/>
  <c r="E19" i="13"/>
  <c r="D19" i="13"/>
  <c r="E20" i="13" s="1"/>
  <c r="C19" i="13"/>
  <c r="D21" i="13" s="1"/>
  <c r="B19" i="13"/>
  <c r="G7" i="13"/>
  <c r="F7" i="13"/>
  <c r="E7" i="13"/>
  <c r="D7" i="13"/>
  <c r="C7" i="13"/>
  <c r="B7" i="13"/>
  <c r="G6" i="13"/>
  <c r="G8" i="13" s="1"/>
  <c r="F6" i="13"/>
  <c r="E6" i="13"/>
  <c r="D6" i="13"/>
  <c r="C6" i="13"/>
  <c r="C9" i="13" s="1"/>
  <c r="B6" i="13"/>
  <c r="G9" i="13" l="1"/>
  <c r="G28" i="13"/>
  <c r="F20" i="13"/>
  <c r="G20" i="13"/>
  <c r="G21" i="13"/>
  <c r="F8" i="13"/>
  <c r="F28" i="13"/>
  <c r="F9" i="13"/>
  <c r="E8" i="13"/>
  <c r="E27" i="13"/>
  <c r="E28" i="13"/>
  <c r="E9" i="13"/>
  <c r="C21" i="13"/>
  <c r="D20" i="13"/>
  <c r="D9" i="13"/>
  <c r="C27" i="13"/>
  <c r="C20" i="13"/>
  <c r="F27" i="13"/>
  <c r="C8" i="13"/>
  <c r="G27" i="13"/>
  <c r="D8" i="13"/>
  <c r="G26" i="12"/>
  <c r="F26" i="12"/>
  <c r="E26" i="12"/>
  <c r="D26" i="12"/>
  <c r="C26" i="12"/>
  <c r="B26" i="12"/>
  <c r="G21" i="12"/>
  <c r="D21" i="12"/>
  <c r="C21" i="12"/>
  <c r="G19" i="12"/>
  <c r="F19" i="12"/>
  <c r="E19" i="12"/>
  <c r="D19" i="12"/>
  <c r="C19" i="12"/>
  <c r="B19" i="12"/>
  <c r="G7" i="12"/>
  <c r="F7" i="12"/>
  <c r="E7" i="12"/>
  <c r="D7" i="12"/>
  <c r="C7" i="12"/>
  <c r="B7" i="12"/>
  <c r="G6" i="12"/>
  <c r="F6" i="12"/>
  <c r="E6" i="12"/>
  <c r="D6" i="12"/>
  <c r="C6" i="12"/>
  <c r="B6" i="12"/>
  <c r="G26" i="11"/>
  <c r="F26" i="11"/>
  <c r="E26" i="11"/>
  <c r="D26" i="11"/>
  <c r="C26" i="11"/>
  <c r="B26" i="11"/>
  <c r="C28" i="11" s="1"/>
  <c r="F21" i="11"/>
  <c r="E21" i="11"/>
  <c r="F20" i="11"/>
  <c r="G19" i="11"/>
  <c r="G21" i="11" s="1"/>
  <c r="F19" i="11"/>
  <c r="E19" i="11"/>
  <c r="D19" i="11"/>
  <c r="C19" i="11"/>
  <c r="B19" i="11"/>
  <c r="G9" i="11"/>
  <c r="G7" i="11"/>
  <c r="F7" i="11"/>
  <c r="E7" i="11"/>
  <c r="D7" i="11"/>
  <c r="C7" i="11"/>
  <c r="B7" i="11"/>
  <c r="G6" i="11"/>
  <c r="F6" i="11"/>
  <c r="E6" i="11"/>
  <c r="F8" i="11" s="1"/>
  <c r="D6" i="11"/>
  <c r="C6" i="11"/>
  <c r="B6" i="11"/>
  <c r="G26" i="10"/>
  <c r="F26" i="10"/>
  <c r="E26" i="10"/>
  <c r="D26" i="10"/>
  <c r="C26" i="10"/>
  <c r="B26" i="10"/>
  <c r="G21" i="10"/>
  <c r="F21" i="10"/>
  <c r="D21" i="10"/>
  <c r="C21" i="10"/>
  <c r="G19" i="10"/>
  <c r="F19" i="10"/>
  <c r="E19" i="10"/>
  <c r="D19" i="10"/>
  <c r="C19" i="10"/>
  <c r="B19" i="10"/>
  <c r="F9" i="10"/>
  <c r="G7" i="10"/>
  <c r="F7" i="10"/>
  <c r="E7" i="10"/>
  <c r="D7" i="10"/>
  <c r="C7" i="10"/>
  <c r="B7" i="10"/>
  <c r="G6" i="10"/>
  <c r="F6" i="10"/>
  <c r="E6" i="10"/>
  <c r="D6" i="10"/>
  <c r="E9" i="10" s="1"/>
  <c r="C6" i="10"/>
  <c r="B6" i="10"/>
  <c r="E28" i="9"/>
  <c r="C28" i="9"/>
  <c r="E27" i="9"/>
  <c r="D27" i="9"/>
  <c r="C27" i="9"/>
  <c r="G26" i="9"/>
  <c r="F26" i="9"/>
  <c r="F27" i="9" s="1"/>
  <c r="E26" i="9"/>
  <c r="D26" i="9"/>
  <c r="C26" i="9"/>
  <c r="D28" i="9" s="1"/>
  <c r="B26" i="9"/>
  <c r="D21" i="9"/>
  <c r="C21" i="9"/>
  <c r="E20" i="9"/>
  <c r="D20" i="9"/>
  <c r="C20" i="9"/>
  <c r="G19" i="9"/>
  <c r="G21" i="9" s="1"/>
  <c r="F19" i="9"/>
  <c r="F21" i="9" s="1"/>
  <c r="E19" i="9"/>
  <c r="D19" i="9"/>
  <c r="E21" i="9" s="1"/>
  <c r="C19" i="9"/>
  <c r="B19" i="9"/>
  <c r="G9" i="9"/>
  <c r="F9" i="9"/>
  <c r="E9" i="9"/>
  <c r="D9" i="9"/>
  <c r="C9" i="9"/>
  <c r="F8" i="9"/>
  <c r="E8" i="9"/>
  <c r="D8" i="9"/>
  <c r="C8" i="9"/>
  <c r="G7" i="9"/>
  <c r="F7" i="9"/>
  <c r="E7" i="9"/>
  <c r="D7" i="9"/>
  <c r="C7" i="9"/>
  <c r="B7" i="9"/>
  <c r="G6" i="9"/>
  <c r="G8" i="9" s="1"/>
  <c r="F6" i="9"/>
  <c r="E6" i="9"/>
  <c r="D6" i="9"/>
  <c r="C6" i="9"/>
  <c r="B6" i="9"/>
  <c r="G26" i="8"/>
  <c r="F26" i="8"/>
  <c r="E26" i="8"/>
  <c r="D26" i="8"/>
  <c r="C26" i="8"/>
  <c r="B26" i="8"/>
  <c r="C28" i="8" s="1"/>
  <c r="G21" i="8"/>
  <c r="F21" i="8"/>
  <c r="E21" i="8"/>
  <c r="D21" i="8"/>
  <c r="G20" i="8"/>
  <c r="F20" i="8"/>
  <c r="G19" i="8"/>
  <c r="F19" i="8"/>
  <c r="E19" i="8"/>
  <c r="D19" i="8"/>
  <c r="C19" i="8"/>
  <c r="B19" i="8"/>
  <c r="F9" i="8"/>
  <c r="G7" i="8"/>
  <c r="F7" i="8"/>
  <c r="E7" i="8"/>
  <c r="D7" i="8"/>
  <c r="C7" i="8"/>
  <c r="B7" i="8"/>
  <c r="G6" i="8"/>
  <c r="F6" i="8"/>
  <c r="E6" i="8"/>
  <c r="D6" i="8"/>
  <c r="C6" i="8"/>
  <c r="B6" i="8"/>
  <c r="F9" i="1"/>
  <c r="F9" i="2"/>
  <c r="F9" i="3"/>
  <c r="F9" i="4"/>
  <c r="F9" i="5"/>
  <c r="F9" i="6"/>
  <c r="F9" i="7"/>
  <c r="D27" i="7"/>
  <c r="C27" i="7"/>
  <c r="G26" i="7"/>
  <c r="F26" i="7"/>
  <c r="E26" i="7"/>
  <c r="D26" i="7"/>
  <c r="C26" i="7"/>
  <c r="D28" i="7" s="1"/>
  <c r="B26" i="7"/>
  <c r="G19" i="7"/>
  <c r="F19" i="7"/>
  <c r="E19" i="7"/>
  <c r="D19" i="7"/>
  <c r="C19" i="7"/>
  <c r="B19" i="7"/>
  <c r="E9" i="7"/>
  <c r="G7" i="7"/>
  <c r="F7" i="7"/>
  <c r="E7" i="7"/>
  <c r="D7" i="7"/>
  <c r="C7" i="7"/>
  <c r="B7" i="7"/>
  <c r="G6" i="7"/>
  <c r="F6" i="7"/>
  <c r="F8" i="7" s="1"/>
  <c r="E6" i="7"/>
  <c r="D6" i="7"/>
  <c r="E8" i="7" s="1"/>
  <c r="C6" i="7"/>
  <c r="B6" i="7"/>
  <c r="G26" i="6"/>
  <c r="F26" i="6"/>
  <c r="E26" i="6"/>
  <c r="D26" i="6"/>
  <c r="C26" i="6"/>
  <c r="B26" i="6"/>
  <c r="F21" i="6"/>
  <c r="E21" i="6"/>
  <c r="F20" i="6"/>
  <c r="E20" i="6"/>
  <c r="G19" i="6"/>
  <c r="G21" i="6" s="1"/>
  <c r="F19" i="6"/>
  <c r="E19" i="6"/>
  <c r="D19" i="6"/>
  <c r="C19" i="6"/>
  <c r="B19" i="6"/>
  <c r="E9" i="6"/>
  <c r="G7" i="6"/>
  <c r="F7" i="6"/>
  <c r="E7" i="6"/>
  <c r="D7" i="6"/>
  <c r="C7" i="6"/>
  <c r="B7" i="6"/>
  <c r="G6" i="6"/>
  <c r="F6" i="6"/>
  <c r="E6" i="6"/>
  <c r="E8" i="6" s="1"/>
  <c r="D6" i="6"/>
  <c r="C6" i="6"/>
  <c r="D9" i="6" s="1"/>
  <c r="B6" i="6"/>
  <c r="G26" i="5"/>
  <c r="F26" i="5"/>
  <c r="E26" i="5"/>
  <c r="D26" i="5"/>
  <c r="C26" i="5"/>
  <c r="B26" i="5"/>
  <c r="G21" i="5"/>
  <c r="F21" i="5"/>
  <c r="E21" i="5"/>
  <c r="D21" i="5"/>
  <c r="G19" i="5"/>
  <c r="F19" i="5"/>
  <c r="E19" i="5"/>
  <c r="D19" i="5"/>
  <c r="C19" i="5"/>
  <c r="B19" i="5"/>
  <c r="G7" i="5"/>
  <c r="F7" i="5"/>
  <c r="E7" i="5"/>
  <c r="D7" i="5"/>
  <c r="C7" i="5"/>
  <c r="B7" i="5"/>
  <c r="G6" i="5"/>
  <c r="F6" i="5"/>
  <c r="E6" i="5"/>
  <c r="D6" i="5"/>
  <c r="C6" i="5"/>
  <c r="B6" i="5"/>
  <c r="G26" i="4"/>
  <c r="F26" i="4"/>
  <c r="E26" i="4"/>
  <c r="D26" i="4"/>
  <c r="C26" i="4"/>
  <c r="B26" i="4"/>
  <c r="C28" i="4" s="1"/>
  <c r="F21" i="4"/>
  <c r="E21" i="4"/>
  <c r="F20" i="4"/>
  <c r="G19" i="4"/>
  <c r="G21" i="4" s="1"/>
  <c r="F19" i="4"/>
  <c r="E19" i="4"/>
  <c r="D19" i="4"/>
  <c r="C19" i="4"/>
  <c r="C20" i="4" s="1"/>
  <c r="B19" i="4"/>
  <c r="C21" i="4" s="1"/>
  <c r="E9" i="4"/>
  <c r="G7" i="4"/>
  <c r="F7" i="4"/>
  <c r="E7" i="4"/>
  <c r="D7" i="4"/>
  <c r="C7" i="4"/>
  <c r="B7" i="4"/>
  <c r="G6" i="4"/>
  <c r="G9" i="4" s="1"/>
  <c r="F6" i="4"/>
  <c r="E6" i="4"/>
  <c r="F8" i="4" s="1"/>
  <c r="D6" i="4"/>
  <c r="C6" i="4"/>
  <c r="D9" i="4" s="1"/>
  <c r="B6" i="4"/>
  <c r="C8" i="4" s="1"/>
  <c r="G26" i="3"/>
  <c r="F26" i="3"/>
  <c r="E26" i="3"/>
  <c r="D26" i="3"/>
  <c r="E27" i="3" s="1"/>
  <c r="C26" i="3"/>
  <c r="B26" i="3"/>
  <c r="G19" i="3"/>
  <c r="F19" i="3"/>
  <c r="E19" i="3"/>
  <c r="E20" i="3" s="1"/>
  <c r="D19" i="3"/>
  <c r="C19" i="3"/>
  <c r="B19" i="3"/>
  <c r="C21" i="3" s="1"/>
  <c r="E9" i="3"/>
  <c r="G7" i="3"/>
  <c r="F7" i="3"/>
  <c r="E7" i="3"/>
  <c r="D7" i="3"/>
  <c r="C7" i="3"/>
  <c r="B7" i="3"/>
  <c r="G6" i="3"/>
  <c r="F6" i="3"/>
  <c r="E6" i="3"/>
  <c r="D6" i="3"/>
  <c r="E8" i="3" s="1"/>
  <c r="C6" i="3"/>
  <c r="B6" i="3"/>
  <c r="G26" i="2"/>
  <c r="F26" i="2"/>
  <c r="E26" i="2"/>
  <c r="D26" i="2"/>
  <c r="E27" i="2" s="1"/>
  <c r="C26" i="2"/>
  <c r="B26" i="2"/>
  <c r="F21" i="2"/>
  <c r="E21" i="2"/>
  <c r="D21" i="2"/>
  <c r="F20" i="2"/>
  <c r="G19" i="2"/>
  <c r="G20" i="2" s="1"/>
  <c r="F19" i="2"/>
  <c r="E19" i="2"/>
  <c r="D19" i="2"/>
  <c r="C19" i="2"/>
  <c r="B19" i="2"/>
  <c r="G9" i="2"/>
  <c r="E9" i="2"/>
  <c r="G7" i="2"/>
  <c r="F7" i="2"/>
  <c r="E7" i="2"/>
  <c r="D7" i="2"/>
  <c r="C7" i="2"/>
  <c r="B7" i="2"/>
  <c r="G6" i="2"/>
  <c r="F6" i="2"/>
  <c r="E6" i="2"/>
  <c r="D6" i="2"/>
  <c r="E8" i="2" s="1"/>
  <c r="C6" i="2"/>
  <c r="D9" i="2" s="1"/>
  <c r="B6" i="2"/>
  <c r="D20" i="1"/>
  <c r="D8" i="1"/>
  <c r="C27" i="1"/>
  <c r="G26" i="1"/>
  <c r="F26" i="1"/>
  <c r="E26" i="1"/>
  <c r="F28" i="1" s="1"/>
  <c r="D26" i="1"/>
  <c r="C26" i="1"/>
  <c r="B26" i="1"/>
  <c r="E21" i="1"/>
  <c r="D21" i="1"/>
  <c r="C21" i="1"/>
  <c r="C20" i="1"/>
  <c r="G19" i="1"/>
  <c r="F19" i="1"/>
  <c r="E19" i="1"/>
  <c r="D19" i="1"/>
  <c r="C19" i="1"/>
  <c r="F7" i="1"/>
  <c r="F6" i="1"/>
  <c r="G6" i="1"/>
  <c r="G7" i="1"/>
  <c r="E7" i="1"/>
  <c r="D7" i="1"/>
  <c r="C7" i="1"/>
  <c r="E6" i="1"/>
  <c r="F8" i="1" s="1"/>
  <c r="D6" i="1"/>
  <c r="C6" i="1"/>
  <c r="B7" i="1"/>
  <c r="B19" i="1"/>
  <c r="B6" i="1"/>
  <c r="C28" i="12" l="1"/>
  <c r="C20" i="12"/>
  <c r="C9" i="12"/>
  <c r="D27" i="12"/>
  <c r="C27" i="12"/>
  <c r="D20" i="12"/>
  <c r="C8" i="12"/>
  <c r="D9" i="12"/>
  <c r="D28" i="12"/>
  <c r="E28" i="12"/>
  <c r="E21" i="12"/>
  <c r="E9" i="12"/>
  <c r="E27" i="12"/>
  <c r="F27" i="12"/>
  <c r="F21" i="12"/>
  <c r="E20" i="12"/>
  <c r="F9" i="12"/>
  <c r="E8" i="12"/>
  <c r="G28" i="12"/>
  <c r="G20" i="12"/>
  <c r="F20" i="12"/>
  <c r="G8" i="12"/>
  <c r="F8" i="12"/>
  <c r="G9" i="12"/>
  <c r="G27" i="12"/>
  <c r="F28" i="12"/>
  <c r="D8" i="12"/>
  <c r="G20" i="11"/>
  <c r="G28" i="11"/>
  <c r="G8" i="11"/>
  <c r="E27" i="11"/>
  <c r="F27" i="11"/>
  <c r="E20" i="11"/>
  <c r="E9" i="11"/>
  <c r="F9" i="11"/>
  <c r="D28" i="11"/>
  <c r="E28" i="11"/>
  <c r="D21" i="11"/>
  <c r="D9" i="11"/>
  <c r="D27" i="11"/>
  <c r="D20" i="11"/>
  <c r="C21" i="11"/>
  <c r="C8" i="11"/>
  <c r="C27" i="11"/>
  <c r="C20" i="11"/>
  <c r="C9" i="11"/>
  <c r="E8" i="11"/>
  <c r="G27" i="11"/>
  <c r="D8" i="11"/>
  <c r="F28" i="11"/>
  <c r="C27" i="10"/>
  <c r="C20" i="10"/>
  <c r="C9" i="10"/>
  <c r="D28" i="10"/>
  <c r="C28" i="10"/>
  <c r="D20" i="10"/>
  <c r="C8" i="10"/>
  <c r="D9" i="10"/>
  <c r="E28" i="10"/>
  <c r="D27" i="10"/>
  <c r="E21" i="10"/>
  <c r="E27" i="10"/>
  <c r="F28" i="10"/>
  <c r="E20" i="10"/>
  <c r="F20" i="10"/>
  <c r="F8" i="10"/>
  <c r="E8" i="10"/>
  <c r="G28" i="10"/>
  <c r="G20" i="10"/>
  <c r="G8" i="10"/>
  <c r="G9" i="10"/>
  <c r="G27" i="10"/>
  <c r="D8" i="10"/>
  <c r="F27" i="10"/>
  <c r="G28" i="9"/>
  <c r="G27" i="9"/>
  <c r="F28" i="9"/>
  <c r="F20" i="9"/>
  <c r="G20" i="9"/>
  <c r="G9" i="8"/>
  <c r="G28" i="8"/>
  <c r="G8" i="8"/>
  <c r="F28" i="8"/>
  <c r="E27" i="8"/>
  <c r="E20" i="8"/>
  <c r="E9" i="8"/>
  <c r="F8" i="8"/>
  <c r="E28" i="8"/>
  <c r="D27" i="8"/>
  <c r="D9" i="8"/>
  <c r="E8" i="8"/>
  <c r="D28" i="8"/>
  <c r="D20" i="8"/>
  <c r="C21" i="8"/>
  <c r="C8" i="8"/>
  <c r="C27" i="8"/>
  <c r="C20" i="8"/>
  <c r="C9" i="8"/>
  <c r="F27" i="8"/>
  <c r="G27" i="8"/>
  <c r="D8" i="8"/>
  <c r="C20" i="7"/>
  <c r="C9" i="7"/>
  <c r="C28" i="7"/>
  <c r="D20" i="7"/>
  <c r="C21" i="7"/>
  <c r="C8" i="7"/>
  <c r="D9" i="7"/>
  <c r="E28" i="7"/>
  <c r="E20" i="7"/>
  <c r="E21" i="7"/>
  <c r="D21" i="7"/>
  <c r="E27" i="7"/>
  <c r="F28" i="7"/>
  <c r="F20" i="7"/>
  <c r="G28" i="7"/>
  <c r="G20" i="7"/>
  <c r="G8" i="7"/>
  <c r="G21" i="7"/>
  <c r="G9" i="7"/>
  <c r="F27" i="7"/>
  <c r="F21" i="7"/>
  <c r="G27" i="7"/>
  <c r="D8" i="7"/>
  <c r="G20" i="6"/>
  <c r="G9" i="6"/>
  <c r="G28" i="6"/>
  <c r="G8" i="6"/>
  <c r="E27" i="6"/>
  <c r="F28" i="6"/>
  <c r="F8" i="6"/>
  <c r="E28" i="6"/>
  <c r="D27" i="6"/>
  <c r="D21" i="6"/>
  <c r="D28" i="6"/>
  <c r="C27" i="6"/>
  <c r="C21" i="6"/>
  <c r="D20" i="6"/>
  <c r="D8" i="6"/>
  <c r="C8" i="6"/>
  <c r="C28" i="6"/>
  <c r="C20" i="6"/>
  <c r="C9" i="6"/>
  <c r="F27" i="6"/>
  <c r="G27" i="6"/>
  <c r="C27" i="5"/>
  <c r="D28" i="5"/>
  <c r="C21" i="5"/>
  <c r="D20" i="5"/>
  <c r="C8" i="5"/>
  <c r="D9" i="5"/>
  <c r="E28" i="5"/>
  <c r="D27" i="5"/>
  <c r="E20" i="5"/>
  <c r="E9" i="5"/>
  <c r="E27" i="5"/>
  <c r="F27" i="5"/>
  <c r="F20" i="5"/>
  <c r="F8" i="5"/>
  <c r="E8" i="5"/>
  <c r="G28" i="5"/>
  <c r="G20" i="5"/>
  <c r="G8" i="5"/>
  <c r="G9" i="5"/>
  <c r="C28" i="5"/>
  <c r="C20" i="5"/>
  <c r="C9" i="5"/>
  <c r="G27" i="5"/>
  <c r="D8" i="5"/>
  <c r="F28" i="5"/>
  <c r="G20" i="4"/>
  <c r="G28" i="4"/>
  <c r="G8" i="4"/>
  <c r="E28" i="4"/>
  <c r="F27" i="4"/>
  <c r="E20" i="4"/>
  <c r="E8" i="4"/>
  <c r="E27" i="4"/>
  <c r="D28" i="4"/>
  <c r="D27" i="4"/>
  <c r="D20" i="4"/>
  <c r="D21" i="4"/>
  <c r="C27" i="4"/>
  <c r="C9" i="4"/>
  <c r="G27" i="4"/>
  <c r="D8" i="4"/>
  <c r="F28" i="4"/>
  <c r="G21" i="3"/>
  <c r="G9" i="3"/>
  <c r="G28" i="3"/>
  <c r="G20" i="3"/>
  <c r="G8" i="3"/>
  <c r="F28" i="3"/>
  <c r="F20" i="3"/>
  <c r="E21" i="3"/>
  <c r="F8" i="3"/>
  <c r="D28" i="3"/>
  <c r="E28" i="3"/>
  <c r="D21" i="3"/>
  <c r="D9" i="3"/>
  <c r="C28" i="3"/>
  <c r="D27" i="3"/>
  <c r="D20" i="3"/>
  <c r="C8" i="3"/>
  <c r="C27" i="3"/>
  <c r="C20" i="3"/>
  <c r="C9" i="3"/>
  <c r="G27" i="3"/>
  <c r="F27" i="3"/>
  <c r="F21" i="3"/>
  <c r="D8" i="3"/>
  <c r="G21" i="2"/>
  <c r="G28" i="2"/>
  <c r="G8" i="2"/>
  <c r="F28" i="2"/>
  <c r="E20" i="2"/>
  <c r="F8" i="2"/>
  <c r="E28" i="2"/>
  <c r="D27" i="2"/>
  <c r="D28" i="2"/>
  <c r="C27" i="2"/>
  <c r="C21" i="2"/>
  <c r="D20" i="2"/>
  <c r="C8" i="2"/>
  <c r="C28" i="2"/>
  <c r="C20" i="2"/>
  <c r="C9" i="2"/>
  <c r="D8" i="2"/>
  <c r="F27" i="2"/>
  <c r="G27" i="2"/>
  <c r="G27" i="1"/>
  <c r="G20" i="1"/>
  <c r="G9" i="1"/>
  <c r="G28" i="1"/>
  <c r="F20" i="1"/>
  <c r="G21" i="1"/>
  <c r="G8" i="1"/>
  <c r="F27" i="1"/>
  <c r="E27" i="1"/>
  <c r="F21" i="1"/>
  <c r="E20" i="1"/>
  <c r="E8" i="1"/>
  <c r="E28" i="1"/>
  <c r="D27" i="1"/>
  <c r="D28" i="1"/>
  <c r="C9" i="1"/>
  <c r="C28" i="1"/>
  <c r="E9" i="1"/>
  <c r="D9" i="1"/>
  <c r="C8" i="1"/>
</calcChain>
</file>

<file path=xl/sharedStrings.xml><?xml version="1.0" encoding="utf-8"?>
<sst xmlns="http://schemas.openxmlformats.org/spreadsheetml/2006/main" count="375" uniqueCount="29">
  <si>
    <t>Population and Households</t>
  </si>
  <si>
    <t>Households</t>
  </si>
  <si>
    <t>Pop in Households</t>
  </si>
  <si>
    <t>Pop in Group Qtrs..</t>
  </si>
  <si>
    <t>Total Population</t>
  </si>
  <si>
    <t>Avg. Persons per Household</t>
  </si>
  <si>
    <t>Change in population</t>
  </si>
  <si>
    <t>Annual % change in pop</t>
  </si>
  <si>
    <t>Employment</t>
  </si>
  <si>
    <t>Low-Traffic Industrial</t>
  </si>
  <si>
    <t>High-Traffic Industrial</t>
  </si>
  <si>
    <t>Retail</t>
  </si>
  <si>
    <t>High-Traffic Retail</t>
  </si>
  <si>
    <t>Low-Traffic Service</t>
  </si>
  <si>
    <t>High-Traffic Service</t>
  </si>
  <si>
    <t>Office</t>
  </si>
  <si>
    <t>Education</t>
  </si>
  <si>
    <t>Total Employment</t>
  </si>
  <si>
    <t>Change in employment</t>
  </si>
  <si>
    <t>Annual % change in emp</t>
  </si>
  <si>
    <t>Students</t>
  </si>
  <si>
    <t>Students - K-8</t>
  </si>
  <si>
    <t>Students – HS</t>
  </si>
  <si>
    <t>Students – College</t>
  </si>
  <si>
    <t>Total Students</t>
  </si>
  <si>
    <t>Change in # students</t>
  </si>
  <si>
    <t>Annual % change in students</t>
  </si>
  <si>
    <t>Parameters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</si>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</sst>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justify" vertical="center"/>
    </xf>
    <xf numFmtId="0" fontId="1" fillId="0" borderId="0" xfId="0" applyFont="1" applyAlignment="1">
      <alignment horizontal="justify" vertical="center"/>
    </xf>
    <xf numFmtId="0" fontId="1" fillId="0" borderId="2" xfId="0" applyFont="1" applyBorder="1" applyAlignment="1">
      <alignment horizontal="justify" vertical="center"/>
    </xf>
    <xf numFmtId="0" fontId="2" fillId="2" borderId="3" xfId="0" applyFont="1" applyFill="1" applyBorder="1" applyAlignment="1">
      <alignment horizontal="justify" vertical="center"/>
    </xf>
    <xf numFmtId="0" fontId="2" fillId="2" borderId="4" xfId="0" applyFont="1" applyFill="1" applyBorder="1" applyAlignment="1">
      <alignment horizontal="justify" vertical="center"/>
    </xf>
    <xf numFmtId="0" fontId="2" fillId="2" borderId="5" xfId="0" applyFont="1" applyFill="1" applyBorder="1" applyAlignment="1">
      <alignment horizontal="justify" vertical="center"/>
    </xf>
    <xf numFmtId="0" fontId="3" fillId="0" borderId="1" xfId="0" applyFont="1" applyBorder="1" applyAlignment="1">
      <alignment horizontal="justify" vertical="center"/>
    </xf>
    <xf numFmtId="3" fontId="1" fillId="0" borderId="0" xfId="0" applyNumberFormat="1" applyFont="1" applyAlignment="1">
      <alignment horizontal="justify" vertical="center"/>
    </xf>
    <xf numFmtId="3" fontId="1" fillId="0" borderId="2" xfId="0" applyNumberFormat="1" applyFont="1" applyBorder="1" applyAlignment="1">
      <alignment horizontal="justify" vertical="center"/>
    </xf>
    <xf numFmtId="0" fontId="1" fillId="0" borderId="6" xfId="0" applyFont="1" applyBorder="1" applyAlignment="1">
      <alignment horizontal="justify" vertical="center"/>
    </xf>
    <xf numFmtId="3" fontId="1" fillId="0" borderId="7" xfId="0" applyNumberFormat="1" applyFont="1" applyBorder="1" applyAlignment="1">
      <alignment horizontal="justify" vertical="center"/>
    </xf>
    <xf numFmtId="3" fontId="1" fillId="0" borderId="8" xfId="0" applyNumberFormat="1" applyFont="1" applyBorder="1" applyAlignment="1">
      <alignment horizontal="justify" vertical="center"/>
    </xf>
    <xf numFmtId="0" fontId="1" fillId="0" borderId="7" xfId="0" applyFont="1" applyBorder="1" applyAlignment="1">
      <alignment horizontal="justify" vertical="center"/>
    </xf>
    <xf numFmtId="0" fontId="1" fillId="0" borderId="8" xfId="0" applyFont="1" applyBorder="1" applyAlignment="1">
      <alignment horizontal="justify" vertical="center"/>
    </xf>
    <xf numFmtId="0" fontId="1" fillId="0" borderId="9" xfId="0" applyFont="1" applyBorder="1" applyAlignment="1">
      <alignment horizontal="justify" vertical="center"/>
    </xf>
    <xf numFmtId="0" fontId="1" fillId="0" borderId="10" xfId="0" applyFont="1" applyBorder="1" applyAlignment="1">
      <alignment horizontal="justify" vertical="center"/>
    </xf>
    <xf numFmtId="10" fontId="4" fillId="0" borderId="10" xfId="0" applyNumberFormat="1" applyFont="1" applyBorder="1" applyAlignment="1">
      <alignment horizontal="justify" vertical="center"/>
    </xf>
    <xf numFmtId="10" fontId="4" fillId="0" borderId="11" xfId="0" applyNumberFormat="1" applyFont="1" applyBorder="1" applyAlignment="1">
      <alignment horizontal="justify" vertical="center"/>
    </xf>
    <xf numFmtId="0" fontId="1" fillId="0" borderId="3" xfId="0" applyFont="1" applyBorder="1" applyAlignment="1">
      <alignment horizontal="justify" vertical="center"/>
    </xf>
    <xf numFmtId="3" fontId="1" fillId="0" borderId="4" xfId="0" applyNumberFormat="1" applyFont="1" applyBorder="1" applyAlignment="1">
      <alignment horizontal="justify" vertical="center"/>
    </xf>
    <xf numFmtId="3" fontId="1" fillId="0" borderId="5" xfId="0" applyNumberFormat="1" applyFont="1" applyBorder="1" applyAlignment="1">
      <alignment horizontal="justify" vertical="center"/>
    </xf>
    <xf numFmtId="10" fontId="4" fillId="0" borderId="7" xfId="0" applyNumberFormat="1" applyFont="1" applyBorder="1" applyAlignment="1">
      <alignment horizontal="justify" vertical="center"/>
    </xf>
    <xf numFmtId="10" fontId="4" fillId="0" borderId="8" xfId="0" applyNumberFormat="1" applyFont="1" applyBorder="1" applyAlignment="1">
      <alignment horizontal="justify" vertical="center"/>
    </xf>
    <xf numFmtId="0" fontId="0" fillId="0" borderId="0" xfId="0" applyAlignment="1"/>
    <xf numFmtId="0" fontId="1" fillId="0" borderId="13" xfId="0" applyFont="1" applyBorder="1" applyAlignment="1">
      <alignment horizontal="justify" vertical="center"/>
    </xf>
    <xf numFmtId="0" fontId="5" fillId="0" borderId="0" xfId="0" applyFont="1" applyAlignment="1">
      <alignment vertical="center"/>
    </xf>
    <xf numFmtId="0" fontId="5" fillId="0" borderId="13" xfId="0" applyFont="1" applyBorder="1" applyAlignment="1">
      <alignment vertical="center"/>
    </xf>
    <xf numFmtId="3" fontId="1" fillId="0" borderId="13" xfId="0" applyNumberFormat="1" applyFont="1" applyBorder="1" applyAlignment="1">
      <alignment horizontal="justify" vertical="center"/>
    </xf>
    <xf numFmtId="0" fontId="1" fillId="0" borderId="14" xfId="0" applyFont="1" applyBorder="1" applyAlignment="1">
      <alignment horizontal="justify" vertical="center"/>
    </xf>
    <xf numFmtId="0" fontId="1" fillId="0" borderId="12" xfId="0" applyFont="1" applyBorder="1" applyAlignment="1">
      <alignment horizontal="justify" vertical="center"/>
    </xf>
    <xf numFmtId="0" fontId="3" fillId="0" borderId="12" xfId="0" applyFont="1" applyBorder="1" applyAlignment="1">
      <alignment horizontal="justify" vertical="center"/>
    </xf>
    <xf numFmtId="0" fontId="3" fillId="0" borderId="15" xfId="0" applyFont="1" applyBorder="1" applyAlignment="1">
      <alignment horizontal="justify" vertical="center"/>
    </xf>
    <xf numFmtId="0" fontId="1" fillId="0" borderId="4" xfId="0" applyFont="1" applyBorder="1" applyAlignment="1">
      <alignment horizontal="justify" vertical="center"/>
    </xf>
    <xf numFmtId="0" fontId="2" fillId="2" borderId="8" xfId="0" applyFont="1" applyFill="1" applyBorder="1" applyAlignment="1">
      <alignment horizontal="justify" vertical="center"/>
    </xf>
    <xf numFmtId="0" fontId="1" fillId="0" borderId="5" xfId="0" applyFont="1" applyBorder="1" applyAlignment="1">
      <alignment horizontal="justify" vertical="center"/>
    </xf>
    <xf numFmtId="10" fontId="1" fillId="0" borderId="10" xfId="0" applyNumberFormat="1" applyFont="1" applyBorder="1" applyAlignment="1">
      <alignment horizontal="justify" vertical="center"/>
    </xf>
    <xf numFmtId="10" fontId="1" fillId="0" borderId="11" xfId="0" applyNumberFormat="1" applyFont="1" applyBorder="1" applyAlignment="1">
      <alignment horizontal="justify" vertical="center"/>
    </xf>
    <xf numFmtId="3" fontId="0" fillId="0" borderId="0" xfId="0" applyNumberFormat="1" applyAlignment="1"/>
    <xf numFmtId="2" fontId="1" fillId="0" borderId="7" xfId="0" applyNumberFormat="1" applyFont="1" applyBorder="1" applyAlignment="1">
      <alignment horizontal="justify" vertical="center"/>
    </xf>
    <xf numFmtId="2" fontId="1" fillId="0" borderId="8" xfId="0" applyNumberFormat="1" applyFont="1" applyBorder="1" applyAlignment="1">
      <alignment horizontal="justify" vertical="center"/>
    </xf>
    <xf numFmtId="4" fontId="0" fillId="0" borderId="0" xfId="0" applyNumberFormat="1" applyAlignment="1"/>
    <xf numFmtId="0" fontId="1" fillId="0" borderId="0" xfId="0" applyFont="1" applyBorder="1" applyAlignment="1">
      <alignment horizontal="justify" vertical="center"/>
    </xf>
    <xf numFmtId="3" fontId="1" fillId="0" borderId="0" xfId="0" applyNumberFormat="1" applyFont="1" applyBorder="1" applyAlignment="1">
      <alignment horizontal="justify" vertical="center"/>
    </xf>
    <xf numFmtId="0" fontId="2" fillId="2" borderId="7" xfId="0" applyFont="1" applyFill="1" applyBorder="1" applyAlignment="1">
      <alignment horizontal="justify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C8E-073B-4198-80A1-A02A3EFC489B}">
  <sheetPr>
    <tabColor theme="6" tint="0.59999389629810485"/>
  </sheetPr>
  <dimension ref="A1:G28"/>
  <sheetViews>
    <sheetView tabSelected="1" workbookViewId="0">
      <selection activeCell="I9" sqref="I9:N28"/>
    </sheetView>
  </sheetViews>
  <sheetFormatPr defaultColWidth="19.140625" defaultRowHeight="15" x14ac:dyDescent="0.25"/>
  <cols>
    <col min="1" max="1" width="23.7109375" customWidth="1"/>
    <col min="2" max="7" width="7.5703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6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/>
      <c r="F2" s="25"/>
      <c r="G2" s="3"/>
    </row>
    <row r="3" spans="1:7" x14ac:dyDescent="0.25">
      <c r="A3" s="1" t="s">
        <v>1</v>
      </c>
      <c r="B3" s="8">
        <v>8571</v>
      </c>
      <c r="C3" s="8">
        <v>8644</v>
      </c>
      <c r="D3" s="8">
        <v>8913</v>
      </c>
      <c r="E3" s="8">
        <v>9190</v>
      </c>
      <c r="F3" s="43">
        <v>9340</v>
      </c>
      <c r="G3" s="9">
        <v>9476</v>
      </c>
    </row>
    <row r="4" spans="1:7" x14ac:dyDescent="0.25">
      <c r="A4" s="1" t="s">
        <v>2</v>
      </c>
      <c r="B4" s="8">
        <v>20566</v>
      </c>
      <c r="C4" s="8">
        <v>20755</v>
      </c>
      <c r="D4" s="8">
        <v>21453</v>
      </c>
      <c r="E4" s="8">
        <v>22173</v>
      </c>
      <c r="F4" s="43">
        <v>22557</v>
      </c>
      <c r="G4" s="9">
        <v>22918</v>
      </c>
    </row>
    <row r="5" spans="1:7" ht="15.75" thickBot="1" x14ac:dyDescent="0.3">
      <c r="A5" s="10" t="s">
        <v>3</v>
      </c>
      <c r="B5" s="11">
        <v>1641</v>
      </c>
      <c r="C5" s="11">
        <v>3517</v>
      </c>
      <c r="D5" s="11">
        <v>5636</v>
      </c>
      <c r="E5" s="11">
        <v>7990</v>
      </c>
      <c r="F5" s="11">
        <v>9283</v>
      </c>
      <c r="G5" s="12">
        <v>10572</v>
      </c>
    </row>
    <row r="6" spans="1:7" x14ac:dyDescent="0.25">
      <c r="A6" s="1" t="s">
        <v>4</v>
      </c>
      <c r="B6" s="8">
        <f>B4+B5</f>
        <v>22207</v>
      </c>
      <c r="C6" s="8">
        <f t="shared" ref="C6:G6" si="0">C4+C5</f>
        <v>24272</v>
      </c>
      <c r="D6" s="8">
        <f t="shared" si="0"/>
        <v>27089</v>
      </c>
      <c r="E6" s="8">
        <f t="shared" si="0"/>
        <v>30163</v>
      </c>
      <c r="F6" s="43">
        <f t="shared" si="0"/>
        <v>31840</v>
      </c>
      <c r="G6" s="9">
        <f t="shared" si="0"/>
        <v>33490</v>
      </c>
    </row>
    <row r="7" spans="1:7" ht="30.75" thickBot="1" x14ac:dyDescent="0.3">
      <c r="A7" s="10" t="s">
        <v>5</v>
      </c>
      <c r="B7" s="39">
        <f>B4/B3</f>
        <v>2.3994866409987168</v>
      </c>
      <c r="C7" s="39">
        <f t="shared" ref="C7:G7" si="1">C4/C3</f>
        <v>2.4010874595094864</v>
      </c>
      <c r="D7" s="39">
        <f t="shared" si="1"/>
        <v>2.4069336923594751</v>
      </c>
      <c r="E7" s="39">
        <f t="shared" si="1"/>
        <v>2.4127312295973886</v>
      </c>
      <c r="F7" s="39">
        <f t="shared" si="1"/>
        <v>2.4150963597430408</v>
      </c>
      <c r="G7" s="40">
        <f t="shared" si="1"/>
        <v>2.4185310257492612</v>
      </c>
    </row>
    <row r="8" spans="1:7" x14ac:dyDescent="0.25">
      <c r="A8" s="1" t="s">
        <v>6</v>
      </c>
      <c r="B8" s="2"/>
      <c r="C8" s="8">
        <f>C6-B6</f>
        <v>2065</v>
      </c>
      <c r="D8" s="8">
        <f t="shared" ref="D8:G8" si="2">D6-C6</f>
        <v>2817</v>
      </c>
      <c r="E8" s="8">
        <f t="shared" si="2"/>
        <v>3074</v>
      </c>
      <c r="F8" s="43">
        <f t="shared" si="2"/>
        <v>1677</v>
      </c>
      <c r="G8" s="9">
        <f t="shared" si="2"/>
        <v>1650</v>
      </c>
    </row>
    <row r="9" spans="1:7" ht="15.75" thickBot="1" x14ac:dyDescent="0.3">
      <c r="A9" s="15" t="s">
        <v>7</v>
      </c>
      <c r="B9" s="16"/>
      <c r="C9" s="17">
        <f>(((C6/B6)^0.33)-1)</f>
        <v>2.9776961415308723E-2</v>
      </c>
      <c r="D9" s="17">
        <f>(((D6/C6)^0.1)-1)</f>
        <v>1.1040938082677254E-2</v>
      </c>
      <c r="E9" s="17">
        <f t="shared" ref="E9" si="3">(((E6/D6)^0.1)-1)</f>
        <v>1.0806802802385107E-2</v>
      </c>
      <c r="F9" s="17">
        <f>(((F6/E6)^0.2)-1)</f>
        <v>1.0880234550318724E-2</v>
      </c>
      <c r="G9" s="18">
        <f>(((G6/F6)^0.2)-1)</f>
        <v>1.0155930091436893E-2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42"/>
      <c r="G10" s="3"/>
    </row>
    <row r="11" spans="1:7" x14ac:dyDescent="0.25">
      <c r="A11" s="1" t="s">
        <v>9</v>
      </c>
      <c r="B11" s="8">
        <v>3046</v>
      </c>
      <c r="C11" s="8">
        <v>3326</v>
      </c>
      <c r="D11" s="8">
        <v>3505</v>
      </c>
      <c r="E11" s="8">
        <v>3505</v>
      </c>
      <c r="F11" s="43">
        <v>3512</v>
      </c>
      <c r="G11" s="9">
        <v>3515</v>
      </c>
    </row>
    <row r="12" spans="1:7" x14ac:dyDescent="0.25">
      <c r="A12" s="1" t="s">
        <v>10</v>
      </c>
      <c r="B12" s="8">
        <v>874</v>
      </c>
      <c r="C12" s="8">
        <v>1020</v>
      </c>
      <c r="D12" s="8">
        <v>1114</v>
      </c>
      <c r="E12" s="8">
        <v>1114</v>
      </c>
      <c r="F12" s="43">
        <v>1118</v>
      </c>
      <c r="G12" s="9">
        <v>1120</v>
      </c>
    </row>
    <row r="13" spans="1:7" x14ac:dyDescent="0.25">
      <c r="A13" s="1" t="s">
        <v>11</v>
      </c>
      <c r="B13" s="8">
        <v>344</v>
      </c>
      <c r="C13" s="8">
        <v>380</v>
      </c>
      <c r="D13" s="8">
        <v>403</v>
      </c>
      <c r="E13" s="8">
        <v>403</v>
      </c>
      <c r="F13" s="43">
        <v>404</v>
      </c>
      <c r="G13" s="9">
        <v>404</v>
      </c>
    </row>
    <row r="14" spans="1:7" x14ac:dyDescent="0.25">
      <c r="A14" s="1" t="s">
        <v>12</v>
      </c>
      <c r="B14" s="8">
        <v>756</v>
      </c>
      <c r="C14" s="8">
        <v>835</v>
      </c>
      <c r="D14" s="8">
        <v>886</v>
      </c>
      <c r="E14" s="8">
        <v>886</v>
      </c>
      <c r="F14" s="43">
        <v>888</v>
      </c>
      <c r="G14" s="9">
        <v>889</v>
      </c>
    </row>
    <row r="15" spans="1:7" x14ac:dyDescent="0.25">
      <c r="A15" s="1" t="s">
        <v>13</v>
      </c>
      <c r="B15" s="8">
        <v>1069</v>
      </c>
      <c r="C15" s="8">
        <v>1169</v>
      </c>
      <c r="D15" s="8">
        <v>1233</v>
      </c>
      <c r="E15" s="8">
        <v>1233</v>
      </c>
      <c r="F15" s="43">
        <v>1235</v>
      </c>
      <c r="G15" s="9">
        <v>1236</v>
      </c>
    </row>
    <row r="16" spans="1:7" x14ac:dyDescent="0.25">
      <c r="A16" s="1" t="s">
        <v>14</v>
      </c>
      <c r="B16" s="8">
        <v>1000</v>
      </c>
      <c r="C16" s="8">
        <v>1103</v>
      </c>
      <c r="D16" s="8">
        <v>1169</v>
      </c>
      <c r="E16" s="8">
        <v>1169</v>
      </c>
      <c r="F16" s="43">
        <v>1171</v>
      </c>
      <c r="G16" s="9">
        <v>1173</v>
      </c>
    </row>
    <row r="17" spans="1:7" x14ac:dyDescent="0.25">
      <c r="A17" s="1" t="s">
        <v>15</v>
      </c>
      <c r="B17" s="8">
        <v>1757</v>
      </c>
      <c r="C17" s="8">
        <v>2002</v>
      </c>
      <c r="D17" s="8">
        <v>2159</v>
      </c>
      <c r="E17" s="8">
        <v>2159</v>
      </c>
      <c r="F17" s="43">
        <v>2165</v>
      </c>
      <c r="G17" s="9">
        <v>2168</v>
      </c>
    </row>
    <row r="18" spans="1:7" ht="15.75" thickBot="1" x14ac:dyDescent="0.3">
      <c r="A18" s="1" t="s">
        <v>16</v>
      </c>
      <c r="B18" s="8">
        <v>841</v>
      </c>
      <c r="C18" s="8">
        <v>963</v>
      </c>
      <c r="D18" s="8">
        <v>1041</v>
      </c>
      <c r="E18" s="8">
        <v>1041</v>
      </c>
      <c r="F18" s="43">
        <v>1045</v>
      </c>
      <c r="G18" s="9">
        <v>1045</v>
      </c>
    </row>
    <row r="19" spans="1:7" ht="15.75" thickBot="1" x14ac:dyDescent="0.3">
      <c r="A19" s="19" t="s">
        <v>17</v>
      </c>
      <c r="B19" s="20">
        <f>SUM(B11:B18)</f>
        <v>9687</v>
      </c>
      <c r="C19" s="20">
        <f t="shared" ref="C19:G19" si="4">SUM(C11:C18)</f>
        <v>10798</v>
      </c>
      <c r="D19" s="20">
        <f t="shared" si="4"/>
        <v>11510</v>
      </c>
      <c r="E19" s="20">
        <f t="shared" si="4"/>
        <v>11510</v>
      </c>
      <c r="F19" s="20">
        <f t="shared" si="4"/>
        <v>11538</v>
      </c>
      <c r="G19" s="21">
        <f t="shared" si="4"/>
        <v>11550</v>
      </c>
    </row>
    <row r="20" spans="1:7" x14ac:dyDescent="0.25">
      <c r="A20" s="1" t="s">
        <v>18</v>
      </c>
      <c r="B20" s="2"/>
      <c r="C20" s="8">
        <f>C19-B19</f>
        <v>1111</v>
      </c>
      <c r="D20" s="8">
        <f t="shared" ref="D20:G20" si="5">D19-C19</f>
        <v>712</v>
      </c>
      <c r="E20" s="8">
        <f t="shared" si="5"/>
        <v>0</v>
      </c>
      <c r="F20" s="43">
        <f t="shared" si="5"/>
        <v>28</v>
      </c>
      <c r="G20" s="9">
        <f t="shared" si="5"/>
        <v>12</v>
      </c>
    </row>
    <row r="21" spans="1:7" ht="15.75" thickBot="1" x14ac:dyDescent="0.3">
      <c r="A21" s="15" t="s">
        <v>19</v>
      </c>
      <c r="B21" s="16"/>
      <c r="C21" s="17">
        <f>(((C19/B19)^0.33)-1)</f>
        <v>3.6479764662352698E-2</v>
      </c>
      <c r="D21" s="17">
        <f>(((D19/C19)^0.1)-1)</f>
        <v>6.4059600490089519E-3</v>
      </c>
      <c r="E21" s="17">
        <f>(((E19/D19)^0.1)-1)</f>
        <v>0</v>
      </c>
      <c r="F21" s="17">
        <f>(((F19/E19)^0.2)-1)</f>
        <v>4.8606070942369684E-4</v>
      </c>
      <c r="G21" s="18">
        <f>(((G19/F19)^0.2)-1)</f>
        <v>2.0792183937090591E-4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42"/>
      <c r="G22" s="3"/>
    </row>
    <row r="23" spans="1:7" x14ac:dyDescent="0.25">
      <c r="A23" s="1" t="s">
        <v>21</v>
      </c>
      <c r="B23" s="8">
        <v>2018</v>
      </c>
      <c r="C23" s="8">
        <v>2018</v>
      </c>
      <c r="D23" s="8">
        <v>2095</v>
      </c>
      <c r="E23" s="8">
        <v>2161</v>
      </c>
      <c r="F23" s="43">
        <v>2219</v>
      </c>
      <c r="G23" s="9">
        <v>2273</v>
      </c>
    </row>
    <row r="24" spans="1:7" x14ac:dyDescent="0.25">
      <c r="A24" s="1" t="s">
        <v>22</v>
      </c>
      <c r="B24" s="8">
        <v>895</v>
      </c>
      <c r="C24" s="8">
        <v>895</v>
      </c>
      <c r="D24" s="8">
        <v>929</v>
      </c>
      <c r="E24" s="8">
        <v>958</v>
      </c>
      <c r="F24" s="43">
        <v>983</v>
      </c>
      <c r="G24" s="9">
        <v>1007</v>
      </c>
    </row>
    <row r="25" spans="1:7" ht="15.75" thickBot="1" x14ac:dyDescent="0.3">
      <c r="A25" s="1" t="s">
        <v>23</v>
      </c>
      <c r="B25" s="8">
        <v>1644</v>
      </c>
      <c r="C25" s="8">
        <v>1667</v>
      </c>
      <c r="D25" s="8">
        <v>1714</v>
      </c>
      <c r="E25" s="8">
        <v>1761</v>
      </c>
      <c r="F25" s="43">
        <v>1785</v>
      </c>
      <c r="G25" s="9">
        <v>1808</v>
      </c>
    </row>
    <row r="26" spans="1:7" ht="15.75" thickBot="1" x14ac:dyDescent="0.3">
      <c r="A26" s="19" t="s">
        <v>24</v>
      </c>
      <c r="B26" s="20">
        <f>SUM(B23:B25)</f>
        <v>4557</v>
      </c>
      <c r="C26" s="20">
        <f t="shared" ref="C26:G26" si="6">SUM(C23:C25)</f>
        <v>4580</v>
      </c>
      <c r="D26" s="20">
        <f t="shared" si="6"/>
        <v>4738</v>
      </c>
      <c r="E26" s="20">
        <f t="shared" si="6"/>
        <v>4880</v>
      </c>
      <c r="F26" s="20">
        <f t="shared" si="6"/>
        <v>4987</v>
      </c>
      <c r="G26" s="21">
        <f t="shared" si="6"/>
        <v>5088</v>
      </c>
    </row>
    <row r="27" spans="1:7" x14ac:dyDescent="0.25">
      <c r="A27" s="1" t="s">
        <v>25</v>
      </c>
      <c r="B27" s="2"/>
      <c r="C27" s="8">
        <f>C26-B26</f>
        <v>23</v>
      </c>
      <c r="D27" s="8">
        <f t="shared" ref="D27:G27" si="7">D26-C26</f>
        <v>158</v>
      </c>
      <c r="E27" s="8">
        <f t="shared" si="7"/>
        <v>142</v>
      </c>
      <c r="F27" s="43">
        <f t="shared" si="7"/>
        <v>107</v>
      </c>
      <c r="G27" s="9">
        <f t="shared" si="7"/>
        <v>101</v>
      </c>
    </row>
    <row r="28" spans="1:7" ht="30.75" thickBot="1" x14ac:dyDescent="0.3">
      <c r="A28" s="10" t="s">
        <v>26</v>
      </c>
      <c r="B28" s="13"/>
      <c r="C28" s="22">
        <f>(((C26/B26)^0.33)-1)</f>
        <v>1.6627611855366542E-3</v>
      </c>
      <c r="D28" s="22">
        <f>(((D26/C26)^0.1)-1)</f>
        <v>3.397368780640786E-3</v>
      </c>
      <c r="E28" s="22">
        <f>(((E26/D26)^0.1)-1)</f>
        <v>2.9573758460648136E-3</v>
      </c>
      <c r="F28" s="22">
        <f>(((F26/E26)^0.2)-1)</f>
        <v>4.3472834793394366E-3</v>
      </c>
      <c r="G28" s="23">
        <f>(((G26/F26)^0.2)-1)</f>
        <v>4.0181109430783568E-3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2CA8-AE7D-48C2-B56E-32B0A9DE0D40}">
  <sheetPr>
    <tabColor theme="6" tint="0.59999389629810485"/>
  </sheetPr>
  <dimension ref="A1:J28"/>
  <sheetViews>
    <sheetView workbookViewId="0">
      <selection activeCell="H9" sqref="H9:K20"/>
    </sheetView>
  </sheetViews>
  <sheetFormatPr defaultColWidth="23.7109375" defaultRowHeight="15" x14ac:dyDescent="0.25"/>
  <cols>
    <col min="1" max="1" width="23.7109375" style="24" customWidth="1"/>
    <col min="2" max="2" width="7.5703125" style="24" bestFit="1" customWidth="1"/>
    <col min="3" max="3" width="8.140625" style="24" bestFit="1" customWidth="1"/>
    <col min="4" max="5" width="7.42578125" style="24" bestFit="1" customWidth="1"/>
    <col min="6" max="6" width="7.42578125" style="24" customWidth="1"/>
    <col min="7" max="7" width="7.42578125" style="24" bestFit="1" customWidth="1"/>
    <col min="8" max="16384" width="23.7109375" style="24"/>
  </cols>
  <sheetData>
    <row r="1" spans="1:10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6">
        <v>2050</v>
      </c>
      <c r="G1" s="6">
        <v>2055</v>
      </c>
    </row>
    <row r="2" spans="1:10" ht="30" x14ac:dyDescent="0.25">
      <c r="A2" s="7" t="s">
        <v>0</v>
      </c>
      <c r="B2" s="2"/>
      <c r="C2" s="2"/>
      <c r="D2" s="2"/>
      <c r="E2" s="2"/>
      <c r="F2" s="25"/>
      <c r="G2" s="3"/>
    </row>
    <row r="3" spans="1:10" x14ac:dyDescent="0.25">
      <c r="A3" s="1" t="s">
        <v>1</v>
      </c>
      <c r="B3" s="8">
        <v>92171</v>
      </c>
      <c r="C3" s="8">
        <v>99801</v>
      </c>
      <c r="D3" s="8">
        <v>120836</v>
      </c>
      <c r="E3" s="8">
        <v>145013</v>
      </c>
      <c r="F3" s="43">
        <v>158354</v>
      </c>
      <c r="G3" s="9">
        <v>171591</v>
      </c>
    </row>
    <row r="4" spans="1:10" x14ac:dyDescent="0.25">
      <c r="A4" s="1" t="s">
        <v>2</v>
      </c>
      <c r="B4" s="8">
        <v>237188</v>
      </c>
      <c r="C4" s="8">
        <v>256497</v>
      </c>
      <c r="D4" s="8">
        <v>311125</v>
      </c>
      <c r="E4" s="8">
        <v>374217</v>
      </c>
      <c r="F4" s="43">
        <v>409079</v>
      </c>
      <c r="G4" s="9">
        <v>443808</v>
      </c>
    </row>
    <row r="5" spans="1:10" ht="15.75" thickBot="1" x14ac:dyDescent="0.3">
      <c r="A5" s="10" t="s">
        <v>3</v>
      </c>
      <c r="B5" s="11">
        <v>1806</v>
      </c>
      <c r="C5" s="11">
        <v>1956</v>
      </c>
      <c r="D5" s="11">
        <v>2367</v>
      </c>
      <c r="E5" s="11">
        <v>2842</v>
      </c>
      <c r="F5" s="11">
        <v>3109</v>
      </c>
      <c r="G5" s="12">
        <v>3362</v>
      </c>
    </row>
    <row r="6" spans="1:10" x14ac:dyDescent="0.25">
      <c r="A6" s="1" t="s">
        <v>4</v>
      </c>
      <c r="B6" s="8">
        <f>B4+B5</f>
        <v>238994</v>
      </c>
      <c r="C6" s="8">
        <f t="shared" ref="C6:G6" si="0">C4+C5</f>
        <v>258453</v>
      </c>
      <c r="D6" s="8">
        <f t="shared" si="0"/>
        <v>313492</v>
      </c>
      <c r="E6" s="8">
        <f t="shared" si="0"/>
        <v>377059</v>
      </c>
      <c r="F6" s="43">
        <f t="shared" si="0"/>
        <v>412188</v>
      </c>
      <c r="G6" s="9">
        <f t="shared" si="0"/>
        <v>447170</v>
      </c>
      <c r="H6" s="38"/>
    </row>
    <row r="7" spans="1:10" ht="30.75" thickBot="1" x14ac:dyDescent="0.3">
      <c r="A7" s="10" t="s">
        <v>5</v>
      </c>
      <c r="B7" s="39">
        <f>B4/B3</f>
        <v>2.5733473652233347</v>
      </c>
      <c r="C7" s="39">
        <f t="shared" ref="C7:G7" si="1">C4/C3</f>
        <v>2.570084468091502</v>
      </c>
      <c r="D7" s="39">
        <f t="shared" si="1"/>
        <v>2.5747707636796981</v>
      </c>
      <c r="E7" s="39">
        <f t="shared" si="1"/>
        <v>2.5805755346072421</v>
      </c>
      <c r="F7" s="39">
        <f t="shared" ref="F7" si="2">F4/F3</f>
        <v>2.5833196509087233</v>
      </c>
      <c r="G7" s="40">
        <f t="shared" si="1"/>
        <v>2.5864293581831217</v>
      </c>
      <c r="I7" s="41"/>
      <c r="J7" s="41"/>
    </row>
    <row r="8" spans="1:10" x14ac:dyDescent="0.25">
      <c r="A8" s="1" t="s">
        <v>6</v>
      </c>
      <c r="B8" s="2"/>
      <c r="C8" s="8">
        <f>C6-B6</f>
        <v>19459</v>
      </c>
      <c r="D8" s="8">
        <f t="shared" ref="D8:G8" si="3">D6-C6</f>
        <v>55039</v>
      </c>
      <c r="E8" s="8">
        <f t="shared" si="3"/>
        <v>63567</v>
      </c>
      <c r="F8" s="43">
        <f t="shared" si="3"/>
        <v>35129</v>
      </c>
      <c r="G8" s="9">
        <f t="shared" si="3"/>
        <v>34982</v>
      </c>
    </row>
    <row r="9" spans="1:10" ht="15.75" thickBot="1" x14ac:dyDescent="0.3">
      <c r="A9" s="15" t="s">
        <v>7</v>
      </c>
      <c r="B9" s="16"/>
      <c r="C9" s="17">
        <f>(((C6/B6)^0.33)-1)</f>
        <v>2.6167394559980295E-2</v>
      </c>
      <c r="D9" s="17">
        <f>(((D6/C6)^0.1)-1)</f>
        <v>1.9493564105075745E-2</v>
      </c>
      <c r="E9" s="17">
        <f t="shared" ref="E9" si="4">(((E6/D6)^0.1)-1)</f>
        <v>1.8634274204043733E-2</v>
      </c>
      <c r="F9" s="17">
        <f>(((F6/E6)^0.2)-1)</f>
        <v>1.7975220437208783E-2</v>
      </c>
      <c r="G9" s="18">
        <f>(((G6/F6)^0.2)-1)</f>
        <v>1.6425291851525081E-2</v>
      </c>
    </row>
    <row r="10" spans="1:10" ht="15.75" thickTop="1" x14ac:dyDescent="0.25">
      <c r="A10" s="7" t="s">
        <v>8</v>
      </c>
      <c r="B10" s="2"/>
      <c r="C10" s="2"/>
      <c r="D10" s="2"/>
      <c r="E10" s="2"/>
      <c r="F10" s="42"/>
      <c r="G10" s="3"/>
    </row>
    <row r="11" spans="1:10" x14ac:dyDescent="0.25">
      <c r="A11" s="1" t="s">
        <v>9</v>
      </c>
      <c r="B11" s="8">
        <v>12027</v>
      </c>
      <c r="C11" s="8">
        <v>13665</v>
      </c>
      <c r="D11" s="8">
        <v>16940</v>
      </c>
      <c r="E11" s="8">
        <v>20215</v>
      </c>
      <c r="F11" s="43">
        <v>21873</v>
      </c>
      <c r="G11" s="9">
        <v>23488</v>
      </c>
      <c r="H11"/>
      <c r="I11"/>
      <c r="J11"/>
    </row>
    <row r="12" spans="1:10" x14ac:dyDescent="0.25">
      <c r="A12" s="1" t="s">
        <v>10</v>
      </c>
      <c r="B12" s="8">
        <v>7618</v>
      </c>
      <c r="C12" s="8">
        <v>8657</v>
      </c>
      <c r="D12" s="8">
        <v>10733</v>
      </c>
      <c r="E12" s="8">
        <v>12808</v>
      </c>
      <c r="F12" s="43">
        <v>13870</v>
      </c>
      <c r="G12" s="9">
        <v>14883</v>
      </c>
      <c r="H12"/>
      <c r="I12"/>
      <c r="J12"/>
    </row>
    <row r="13" spans="1:10" x14ac:dyDescent="0.25">
      <c r="A13" s="1" t="s">
        <v>11</v>
      </c>
      <c r="B13" s="8">
        <v>11829</v>
      </c>
      <c r="C13" s="8">
        <v>13440</v>
      </c>
      <c r="D13" s="8">
        <v>16665</v>
      </c>
      <c r="E13" s="8">
        <v>19887</v>
      </c>
      <c r="F13" s="43">
        <v>21537</v>
      </c>
      <c r="G13" s="9">
        <v>23111</v>
      </c>
      <c r="H13"/>
      <c r="I13"/>
      <c r="J13"/>
    </row>
    <row r="14" spans="1:10" x14ac:dyDescent="0.25">
      <c r="A14" s="1" t="s">
        <v>12</v>
      </c>
      <c r="B14" s="8">
        <v>11679</v>
      </c>
      <c r="C14" s="8">
        <v>13271</v>
      </c>
      <c r="D14" s="8">
        <v>16452</v>
      </c>
      <c r="E14" s="8">
        <v>19635</v>
      </c>
      <c r="F14" s="43">
        <v>21265</v>
      </c>
      <c r="G14" s="9">
        <v>22818</v>
      </c>
      <c r="I14"/>
    </row>
    <row r="15" spans="1:10" x14ac:dyDescent="0.25">
      <c r="A15" s="1" t="s">
        <v>13</v>
      </c>
      <c r="B15" s="8">
        <v>7934</v>
      </c>
      <c r="C15" s="8">
        <v>9015</v>
      </c>
      <c r="D15" s="8">
        <v>11176</v>
      </c>
      <c r="E15" s="8">
        <v>13338</v>
      </c>
      <c r="F15" s="43">
        <v>14459</v>
      </c>
      <c r="G15" s="9">
        <v>15502</v>
      </c>
      <c r="I15"/>
    </row>
    <row r="16" spans="1:10" x14ac:dyDescent="0.25">
      <c r="A16" s="1" t="s">
        <v>14</v>
      </c>
      <c r="B16" s="8">
        <v>12835</v>
      </c>
      <c r="C16" s="8">
        <v>14584</v>
      </c>
      <c r="D16" s="8">
        <v>18081</v>
      </c>
      <c r="E16" s="8">
        <v>21579</v>
      </c>
      <c r="F16" s="43">
        <v>23365</v>
      </c>
      <c r="G16" s="9">
        <v>25076</v>
      </c>
      <c r="I16"/>
    </row>
    <row r="17" spans="1:9" x14ac:dyDescent="0.25">
      <c r="A17" s="1" t="s">
        <v>15</v>
      </c>
      <c r="B17" s="8">
        <v>15639</v>
      </c>
      <c r="C17" s="8">
        <v>18907</v>
      </c>
      <c r="D17" s="8">
        <v>23170</v>
      </c>
      <c r="E17" s="8">
        <v>27432</v>
      </c>
      <c r="F17" s="43">
        <v>29598</v>
      </c>
      <c r="G17" s="9">
        <v>31693</v>
      </c>
      <c r="I17"/>
    </row>
    <row r="18" spans="1:9" ht="15.75" thickBot="1" x14ac:dyDescent="0.3">
      <c r="A18" s="1" t="s">
        <v>16</v>
      </c>
      <c r="B18" s="8">
        <v>6124</v>
      </c>
      <c r="C18" s="8">
        <v>6113</v>
      </c>
      <c r="D18" s="8">
        <v>7855</v>
      </c>
      <c r="E18" s="8">
        <v>9598</v>
      </c>
      <c r="F18" s="43">
        <v>10491</v>
      </c>
      <c r="G18" s="9">
        <v>11341</v>
      </c>
      <c r="I18"/>
    </row>
    <row r="19" spans="1:9" ht="15.75" thickBot="1" x14ac:dyDescent="0.3">
      <c r="A19" s="19" t="s">
        <v>17</v>
      </c>
      <c r="B19" s="20">
        <f>SUM(B11:B18)</f>
        <v>85685</v>
      </c>
      <c r="C19" s="20">
        <f t="shared" ref="C19:G19" si="5">SUM(C11:C18)</f>
        <v>97652</v>
      </c>
      <c r="D19" s="20">
        <f t="shared" si="5"/>
        <v>121072</v>
      </c>
      <c r="E19" s="20">
        <f t="shared" si="5"/>
        <v>144492</v>
      </c>
      <c r="F19" s="20">
        <f t="shared" si="5"/>
        <v>156458</v>
      </c>
      <c r="G19" s="21">
        <f t="shared" si="5"/>
        <v>167912</v>
      </c>
    </row>
    <row r="20" spans="1:9" x14ac:dyDescent="0.25">
      <c r="A20" s="1" t="s">
        <v>18</v>
      </c>
      <c r="B20" s="2"/>
      <c r="C20" s="8">
        <f>C19-B19</f>
        <v>11967</v>
      </c>
      <c r="D20" s="8">
        <f t="shared" ref="D20:G20" si="6">D19-C19</f>
        <v>23420</v>
      </c>
      <c r="E20" s="8">
        <f t="shared" si="6"/>
        <v>23420</v>
      </c>
      <c r="F20" s="43">
        <f t="shared" si="6"/>
        <v>11966</v>
      </c>
      <c r="G20" s="9">
        <f t="shared" si="6"/>
        <v>11454</v>
      </c>
      <c r="I20" s="38"/>
    </row>
    <row r="21" spans="1:9" ht="15.75" thickBot="1" x14ac:dyDescent="0.3">
      <c r="A21" s="15" t="s">
        <v>19</v>
      </c>
      <c r="B21" s="16"/>
      <c r="C21" s="17">
        <f>(((C19/B19)^0.33)-1)</f>
        <v>4.4085808270234672E-2</v>
      </c>
      <c r="D21" s="17">
        <f>(((D19/C19)^0.1)-1)</f>
        <v>2.1730263751478462E-2</v>
      </c>
      <c r="E21" s="17">
        <f>(((E19/D19)^0.1)-1)</f>
        <v>1.7841158732396778E-2</v>
      </c>
      <c r="F21" s="17">
        <f>(((F19/E19)^0.2)-1)</f>
        <v>1.6039973249092787E-2</v>
      </c>
      <c r="G21" s="18">
        <f>(((G19/F19)^0.2)-1)</f>
        <v>1.4230793079271109E-2</v>
      </c>
      <c r="I21" s="38"/>
    </row>
    <row r="22" spans="1:9" ht="15.75" thickTop="1" x14ac:dyDescent="0.25">
      <c r="A22" s="7" t="s">
        <v>20</v>
      </c>
      <c r="B22" s="2"/>
      <c r="C22" s="2"/>
      <c r="D22" s="2"/>
      <c r="E22" s="2"/>
      <c r="F22" s="42"/>
      <c r="G22" s="3"/>
    </row>
    <row r="23" spans="1:9" x14ac:dyDescent="0.25">
      <c r="A23" s="1" t="s">
        <v>21</v>
      </c>
      <c r="B23" s="8">
        <v>28699</v>
      </c>
      <c r="C23" s="8">
        <v>30190</v>
      </c>
      <c r="D23" s="8">
        <v>34933</v>
      </c>
      <c r="E23" s="8">
        <v>40070</v>
      </c>
      <c r="F23" s="43">
        <v>42847</v>
      </c>
      <c r="G23" s="9">
        <v>45622</v>
      </c>
    </row>
    <row r="24" spans="1:9" x14ac:dyDescent="0.25">
      <c r="A24" s="1" t="s">
        <v>22</v>
      </c>
      <c r="B24" s="8">
        <v>13427</v>
      </c>
      <c r="C24" s="8">
        <v>14947</v>
      </c>
      <c r="D24" s="8">
        <v>17912</v>
      </c>
      <c r="E24" s="8">
        <v>21206</v>
      </c>
      <c r="F24" s="43">
        <v>23059</v>
      </c>
      <c r="G24" s="9">
        <v>24907</v>
      </c>
    </row>
    <row r="25" spans="1:9" ht="15.75" thickBot="1" x14ac:dyDescent="0.3">
      <c r="A25" s="1" t="s">
        <v>23</v>
      </c>
      <c r="B25" s="8">
        <v>5887</v>
      </c>
      <c r="C25" s="8">
        <v>6479</v>
      </c>
      <c r="D25" s="8">
        <v>7785</v>
      </c>
      <c r="E25" s="8">
        <v>9090</v>
      </c>
      <c r="F25" s="43">
        <v>9745</v>
      </c>
      <c r="G25" s="9">
        <v>10395</v>
      </c>
    </row>
    <row r="26" spans="1:9" ht="15.75" thickBot="1" x14ac:dyDescent="0.3">
      <c r="A26" s="19" t="s">
        <v>24</v>
      </c>
      <c r="B26" s="20">
        <f>SUM(B23:B25)</f>
        <v>48013</v>
      </c>
      <c r="C26" s="20">
        <f t="shared" ref="C26:G26" si="7">SUM(C23:C25)</f>
        <v>51616</v>
      </c>
      <c r="D26" s="20">
        <f t="shared" si="7"/>
        <v>60630</v>
      </c>
      <c r="E26" s="20">
        <f t="shared" si="7"/>
        <v>70366</v>
      </c>
      <c r="F26" s="20">
        <f t="shared" si="7"/>
        <v>75651</v>
      </c>
      <c r="G26" s="21">
        <f t="shared" si="7"/>
        <v>80924</v>
      </c>
    </row>
    <row r="27" spans="1:9" x14ac:dyDescent="0.25">
      <c r="A27" s="1" t="s">
        <v>25</v>
      </c>
      <c r="B27" s="2"/>
      <c r="C27" s="8">
        <f>C26-B26</f>
        <v>3603</v>
      </c>
      <c r="D27" s="8">
        <f t="shared" ref="D27:G27" si="8">D26-C26</f>
        <v>9014</v>
      </c>
      <c r="E27" s="8">
        <f t="shared" si="8"/>
        <v>9736</v>
      </c>
      <c r="F27" s="43">
        <f t="shared" si="8"/>
        <v>5285</v>
      </c>
      <c r="G27" s="9">
        <f t="shared" si="8"/>
        <v>5273</v>
      </c>
    </row>
    <row r="28" spans="1:9" ht="30.75" thickBot="1" x14ac:dyDescent="0.3">
      <c r="A28" s="10" t="s">
        <v>26</v>
      </c>
      <c r="B28" s="13"/>
      <c r="C28" s="22">
        <f>(((C26/B26)^0.33)-1)</f>
        <v>2.4166145726734811E-2</v>
      </c>
      <c r="D28" s="22">
        <f>(((D26/C26)^0.1)-1)</f>
        <v>1.6226047202917204E-2</v>
      </c>
      <c r="E28" s="22">
        <f>(((E26/D26)^0.1)-1)</f>
        <v>1.5003476070086785E-2</v>
      </c>
      <c r="F28" s="22">
        <f>(((F26/E26)^0.2)-1)</f>
        <v>1.4589496145487546E-2</v>
      </c>
      <c r="G28" s="23">
        <f>(((G26/F26)^0.2)-1)</f>
        <v>1.3567166697822985E-2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FDB2-E8B4-4B3C-9D6E-DFCF32A79658}">
  <sheetPr>
    <tabColor theme="6" tint="0.59999389629810485"/>
  </sheetPr>
  <dimension ref="A1:G28"/>
  <sheetViews>
    <sheetView workbookViewId="0">
      <selection activeCell="I9" sqref="I9:L19"/>
    </sheetView>
  </sheetViews>
  <sheetFormatPr defaultRowHeight="15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 t="s">
        <v>28</v>
      </c>
      <c r="F2" s="2"/>
      <c r="G2" s="3"/>
    </row>
    <row r="3" spans="1:7" x14ac:dyDescent="0.25">
      <c r="A3" s="1" t="s">
        <v>1</v>
      </c>
      <c r="B3" s="8">
        <v>64955</v>
      </c>
      <c r="C3" s="8">
        <v>69314</v>
      </c>
      <c r="D3" s="8">
        <v>81563</v>
      </c>
      <c r="E3" s="8">
        <v>93813</v>
      </c>
      <c r="F3" s="8">
        <v>99990</v>
      </c>
      <c r="G3" s="9">
        <v>106062</v>
      </c>
    </row>
    <row r="4" spans="1:7" x14ac:dyDescent="0.25">
      <c r="A4" s="1" t="s">
        <v>2</v>
      </c>
      <c r="B4" s="8">
        <v>146870</v>
      </c>
      <c r="C4" s="8">
        <v>156897</v>
      </c>
      <c r="D4" s="8">
        <v>185081</v>
      </c>
      <c r="E4" s="8">
        <v>213033</v>
      </c>
      <c r="F4" s="8">
        <v>227116</v>
      </c>
      <c r="G4" s="9">
        <v>241088</v>
      </c>
    </row>
    <row r="5" spans="1:7" ht="15.75" thickBot="1" x14ac:dyDescent="0.3">
      <c r="A5" s="10" t="s">
        <v>3</v>
      </c>
      <c r="B5" s="11">
        <v>4109</v>
      </c>
      <c r="C5" s="11">
        <v>4385</v>
      </c>
      <c r="D5" s="11">
        <v>5160</v>
      </c>
      <c r="E5" s="11">
        <v>5934</v>
      </c>
      <c r="F5" s="11">
        <v>6331</v>
      </c>
      <c r="G5" s="12">
        <v>6710</v>
      </c>
    </row>
    <row r="6" spans="1:7" x14ac:dyDescent="0.25">
      <c r="A6" s="1" t="s">
        <v>4</v>
      </c>
      <c r="B6" s="8">
        <f>B4+B5</f>
        <v>150979</v>
      </c>
      <c r="C6" s="8">
        <f t="shared" ref="C6:G6" si="0">C4+C5</f>
        <v>161282</v>
      </c>
      <c r="D6" s="8">
        <f t="shared" si="0"/>
        <v>190241</v>
      </c>
      <c r="E6" s="8">
        <f t="shared" si="0"/>
        <v>218967</v>
      </c>
      <c r="F6" s="8">
        <f t="shared" si="0"/>
        <v>233447</v>
      </c>
      <c r="G6" s="9">
        <f t="shared" si="0"/>
        <v>247798</v>
      </c>
    </row>
    <row r="7" spans="1:7" ht="30.75" thickBot="1" x14ac:dyDescent="0.3">
      <c r="A7" s="10" t="s">
        <v>5</v>
      </c>
      <c r="B7" s="13">
        <f>B4/B3</f>
        <v>2.261103841120776</v>
      </c>
      <c r="C7" s="13">
        <f t="shared" ref="C7:G7" si="1">C4/C3</f>
        <v>2.2635686874224543</v>
      </c>
      <c r="D7" s="13">
        <f t="shared" si="1"/>
        <v>2.2691784264924046</v>
      </c>
      <c r="E7" s="13">
        <f t="shared" si="1"/>
        <v>2.2708260049246904</v>
      </c>
      <c r="F7" s="13">
        <f t="shared" si="1"/>
        <v>2.2713871387138713</v>
      </c>
      <c r="G7" s="14">
        <f t="shared" si="1"/>
        <v>2.2730855537327224</v>
      </c>
    </row>
    <row r="8" spans="1:7" x14ac:dyDescent="0.25">
      <c r="A8" s="1" t="s">
        <v>6</v>
      </c>
      <c r="B8" s="2"/>
      <c r="C8" s="8">
        <f>C6-B6</f>
        <v>10303</v>
      </c>
      <c r="D8" s="8">
        <f t="shared" ref="D8:G8" si="2">D6-C6</f>
        <v>28959</v>
      </c>
      <c r="E8" s="8">
        <f t="shared" si="2"/>
        <v>28726</v>
      </c>
      <c r="F8" s="8">
        <f t="shared" si="2"/>
        <v>14480</v>
      </c>
      <c r="G8" s="9">
        <f t="shared" si="2"/>
        <v>14351</v>
      </c>
    </row>
    <row r="9" spans="1:7" ht="15.75" thickBot="1" x14ac:dyDescent="0.3">
      <c r="A9" s="15" t="s">
        <v>7</v>
      </c>
      <c r="B9" s="16"/>
      <c r="C9" s="17">
        <f>(((C6/B6)^0.33)-1)</f>
        <v>2.2023512963372349E-2</v>
      </c>
      <c r="D9" s="17">
        <f>(((D6/C6)^0.1)-1)</f>
        <v>1.6650835697301636E-2</v>
      </c>
      <c r="E9" s="17">
        <f t="shared" ref="E9" si="3">(((E6/D6)^0.1)-1)</f>
        <v>1.4162282633411349E-2</v>
      </c>
      <c r="F9" s="17">
        <f>(((F6/E6)^0.2)-1)</f>
        <v>1.2889165782343115E-2</v>
      </c>
      <c r="G9" s="18">
        <f>(((G6/F6)^0.2)-1)</f>
        <v>1.2003232979671319E-2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8">
        <v>12595</v>
      </c>
      <c r="C11" s="8">
        <v>14728</v>
      </c>
      <c r="D11" s="8">
        <v>15516</v>
      </c>
      <c r="E11" s="8">
        <v>16428</v>
      </c>
      <c r="F11" s="8">
        <v>16918</v>
      </c>
      <c r="G11" s="9">
        <v>17294</v>
      </c>
    </row>
    <row r="12" spans="1:7" x14ac:dyDescent="0.25">
      <c r="A12" s="1" t="s">
        <v>10</v>
      </c>
      <c r="B12" s="8">
        <v>6655</v>
      </c>
      <c r="C12" s="8">
        <v>7627</v>
      </c>
      <c r="D12" s="8">
        <v>8323</v>
      </c>
      <c r="E12" s="8">
        <v>8859</v>
      </c>
      <c r="F12" s="8">
        <v>9239</v>
      </c>
      <c r="G12" s="9">
        <v>9508</v>
      </c>
    </row>
    <row r="13" spans="1:7" x14ac:dyDescent="0.25">
      <c r="A13" s="1" t="s">
        <v>11</v>
      </c>
      <c r="B13" s="8">
        <v>6352</v>
      </c>
      <c r="C13" s="8">
        <v>7395</v>
      </c>
      <c r="D13" s="8">
        <v>7842</v>
      </c>
      <c r="E13" s="8">
        <v>8327</v>
      </c>
      <c r="F13" s="8">
        <v>8607</v>
      </c>
      <c r="G13" s="9">
        <v>8788</v>
      </c>
    </row>
    <row r="14" spans="1:7" x14ac:dyDescent="0.25">
      <c r="A14" s="1" t="s">
        <v>12</v>
      </c>
      <c r="B14" s="8">
        <v>5684</v>
      </c>
      <c r="C14" s="8">
        <v>6629</v>
      </c>
      <c r="D14" s="8">
        <v>6992</v>
      </c>
      <c r="E14" s="8">
        <v>7452</v>
      </c>
      <c r="F14" s="8">
        <v>7728</v>
      </c>
      <c r="G14" s="9">
        <v>7870</v>
      </c>
    </row>
    <row r="15" spans="1:7" x14ac:dyDescent="0.25">
      <c r="A15" s="1" t="s">
        <v>13</v>
      </c>
      <c r="B15" s="8">
        <v>6501</v>
      </c>
      <c r="C15" s="8">
        <v>7592</v>
      </c>
      <c r="D15" s="8">
        <v>8002</v>
      </c>
      <c r="E15" s="8">
        <v>8482</v>
      </c>
      <c r="F15" s="8">
        <v>8757</v>
      </c>
      <c r="G15" s="9">
        <v>8912</v>
      </c>
    </row>
    <row r="16" spans="1:7" x14ac:dyDescent="0.25">
      <c r="A16" s="1" t="s">
        <v>14</v>
      </c>
      <c r="B16" s="8">
        <v>6728</v>
      </c>
      <c r="C16" s="8">
        <v>7845</v>
      </c>
      <c r="D16" s="8">
        <v>8302</v>
      </c>
      <c r="E16" s="8">
        <v>8810</v>
      </c>
      <c r="F16" s="8">
        <v>9083</v>
      </c>
      <c r="G16" s="9">
        <v>9281</v>
      </c>
    </row>
    <row r="17" spans="1:7" x14ac:dyDescent="0.25">
      <c r="A17" s="1" t="s">
        <v>15</v>
      </c>
      <c r="B17" s="8">
        <v>10232</v>
      </c>
      <c r="C17" s="8">
        <v>12502</v>
      </c>
      <c r="D17" s="8">
        <v>13222</v>
      </c>
      <c r="E17" s="8">
        <v>13999</v>
      </c>
      <c r="F17" s="8">
        <v>14434</v>
      </c>
      <c r="G17" s="9">
        <v>14745</v>
      </c>
    </row>
    <row r="18" spans="1:7" ht="15.75" thickBot="1" x14ac:dyDescent="0.3">
      <c r="A18" s="1" t="s">
        <v>16</v>
      </c>
      <c r="B18" s="8">
        <v>3579</v>
      </c>
      <c r="C18" s="8">
        <v>3591</v>
      </c>
      <c r="D18" s="8">
        <v>3868</v>
      </c>
      <c r="E18" s="8">
        <v>4157</v>
      </c>
      <c r="F18" s="8">
        <v>4315</v>
      </c>
      <c r="G18" s="9">
        <v>4444</v>
      </c>
    </row>
    <row r="19" spans="1:7" ht="15.75" thickBot="1" x14ac:dyDescent="0.3">
      <c r="A19" s="19" t="s">
        <v>17</v>
      </c>
      <c r="B19" s="20">
        <f>SUM(B11:B18)</f>
        <v>58326</v>
      </c>
      <c r="C19" s="20">
        <f t="shared" ref="C19:G19" si="4">SUM(C11:C18)</f>
        <v>67909</v>
      </c>
      <c r="D19" s="20">
        <f t="shared" si="4"/>
        <v>72067</v>
      </c>
      <c r="E19" s="20">
        <f t="shared" si="4"/>
        <v>76514</v>
      </c>
      <c r="F19" s="20">
        <f t="shared" si="4"/>
        <v>79081</v>
      </c>
      <c r="G19" s="21">
        <f t="shared" si="4"/>
        <v>80842</v>
      </c>
    </row>
    <row r="20" spans="1:7" x14ac:dyDescent="0.25">
      <c r="A20" s="1" t="s">
        <v>18</v>
      </c>
      <c r="B20" s="2"/>
      <c r="C20" s="8">
        <f>C19-B19</f>
        <v>9583</v>
      </c>
      <c r="D20" s="8">
        <f t="shared" ref="D20:G20" si="5">D19-C19</f>
        <v>4158</v>
      </c>
      <c r="E20" s="8">
        <f t="shared" si="5"/>
        <v>4447</v>
      </c>
      <c r="F20" s="8">
        <f t="shared" si="5"/>
        <v>2567</v>
      </c>
      <c r="G20" s="9">
        <f t="shared" si="5"/>
        <v>1761</v>
      </c>
    </row>
    <row r="21" spans="1:7" ht="15.75" thickBot="1" x14ac:dyDescent="0.3">
      <c r="A21" s="15" t="s">
        <v>19</v>
      </c>
      <c r="B21" s="16"/>
      <c r="C21" s="17">
        <f>(((C19/B19)^0.33)-1)</f>
        <v>5.148116289352056E-2</v>
      </c>
      <c r="D21" s="17">
        <f>(((D19/C19)^0.1)-1)</f>
        <v>5.96046009315776E-3</v>
      </c>
      <c r="E21" s="17">
        <f>(((E19/D19)^0.1)-1)</f>
        <v>6.0057112770084409E-3</v>
      </c>
      <c r="F21" s="17">
        <f>(((F19/E19)^0.2)-1)</f>
        <v>6.6216091596380533E-3</v>
      </c>
      <c r="G21" s="18">
        <f>(((G19/F19)^0.2)-1)</f>
        <v>4.414513143624621E-3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8">
        <v>13841</v>
      </c>
      <c r="C23" s="8">
        <v>15206</v>
      </c>
      <c r="D23" s="8">
        <v>17062</v>
      </c>
      <c r="E23" s="8">
        <v>19054</v>
      </c>
      <c r="F23" s="8">
        <v>19992</v>
      </c>
      <c r="G23" s="9">
        <v>20927</v>
      </c>
    </row>
    <row r="24" spans="1:7" x14ac:dyDescent="0.25">
      <c r="A24" s="1" t="s">
        <v>22</v>
      </c>
      <c r="B24" s="8">
        <v>6451</v>
      </c>
      <c r="C24" s="8">
        <v>6515</v>
      </c>
      <c r="D24" s="8">
        <v>7359</v>
      </c>
      <c r="E24" s="8">
        <v>8177</v>
      </c>
      <c r="F24" s="8">
        <v>8568</v>
      </c>
      <c r="G24" s="9">
        <v>8956</v>
      </c>
    </row>
    <row r="25" spans="1:7" ht="15.75" thickBot="1" x14ac:dyDescent="0.3">
      <c r="A25" s="1" t="s">
        <v>23</v>
      </c>
      <c r="B25" s="8">
        <v>3615</v>
      </c>
      <c r="C25" s="8">
        <v>3897</v>
      </c>
      <c r="D25" s="8">
        <v>4462</v>
      </c>
      <c r="E25" s="8">
        <v>5027</v>
      </c>
      <c r="F25" s="8">
        <v>5310</v>
      </c>
      <c r="G25" s="9">
        <v>5592</v>
      </c>
    </row>
    <row r="26" spans="1:7" ht="15.75" thickBot="1" x14ac:dyDescent="0.3">
      <c r="A26" s="19" t="s">
        <v>24</v>
      </c>
      <c r="B26" s="20">
        <f>SUM(B23:B25)</f>
        <v>23907</v>
      </c>
      <c r="C26" s="20">
        <f t="shared" ref="C26:G26" si="6">SUM(C23:C25)</f>
        <v>25618</v>
      </c>
      <c r="D26" s="20">
        <f t="shared" si="6"/>
        <v>28883</v>
      </c>
      <c r="E26" s="20">
        <f t="shared" si="6"/>
        <v>32258</v>
      </c>
      <c r="F26" s="20">
        <f t="shared" si="6"/>
        <v>33870</v>
      </c>
      <c r="G26" s="21">
        <f t="shared" si="6"/>
        <v>35475</v>
      </c>
    </row>
    <row r="27" spans="1:7" x14ac:dyDescent="0.25">
      <c r="A27" s="1" t="s">
        <v>25</v>
      </c>
      <c r="B27" s="2"/>
      <c r="C27" s="8">
        <f>C26-B26</f>
        <v>1711</v>
      </c>
      <c r="D27" s="8">
        <f t="shared" ref="D27:G27" si="7">D26-C26</f>
        <v>3265</v>
      </c>
      <c r="E27" s="8">
        <f t="shared" si="7"/>
        <v>3375</v>
      </c>
      <c r="F27" s="8">
        <f t="shared" si="7"/>
        <v>1612</v>
      </c>
      <c r="G27" s="9">
        <f t="shared" si="7"/>
        <v>1605</v>
      </c>
    </row>
    <row r="28" spans="1:7" ht="18" customHeight="1" thickBot="1" x14ac:dyDescent="0.3">
      <c r="A28" s="10" t="s">
        <v>26</v>
      </c>
      <c r="B28" s="13"/>
      <c r="C28" s="22">
        <f>(((C26/B26)^0.33)-1)</f>
        <v>2.3073053726649917E-2</v>
      </c>
      <c r="D28" s="22">
        <f>(((D26/C26)^0.1)-1)</f>
        <v>1.2068033853611881E-2</v>
      </c>
      <c r="E28" s="22">
        <f>(((E26/D26)^0.1)-1)</f>
        <v>1.111257984036107E-2</v>
      </c>
      <c r="F28" s="22">
        <f>(((F26/E26)^0.2)-1)</f>
        <v>9.8004312091894974E-3</v>
      </c>
      <c r="G28" s="23">
        <f>(((G26/F26)^0.2)-1)</f>
        <v>9.3027150010798199E-3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B5712-BEF3-4706-AFCE-C46D85F184DB}">
  <sheetPr>
    <tabColor theme="6" tint="0.59999389629810485"/>
  </sheetPr>
  <dimension ref="A1:G28"/>
  <sheetViews>
    <sheetView workbookViewId="0">
      <selection activeCell="I9" sqref="I9:K18"/>
    </sheetView>
  </sheetViews>
  <sheetFormatPr defaultRowHeight="15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 t="s">
        <v>28</v>
      </c>
      <c r="F2" s="2"/>
      <c r="G2" s="3"/>
    </row>
    <row r="3" spans="1:7" x14ac:dyDescent="0.25">
      <c r="A3" s="1" t="s">
        <v>1</v>
      </c>
      <c r="B3" s="8">
        <v>75513</v>
      </c>
      <c r="C3" s="8">
        <v>83130</v>
      </c>
      <c r="D3" s="8">
        <v>93800</v>
      </c>
      <c r="E3" s="8">
        <v>104300</v>
      </c>
      <c r="F3" s="8">
        <v>109381</v>
      </c>
      <c r="G3" s="9">
        <v>114400</v>
      </c>
    </row>
    <row r="4" spans="1:7" x14ac:dyDescent="0.25">
      <c r="A4" s="1" t="s">
        <v>2</v>
      </c>
      <c r="B4" s="8">
        <v>197083</v>
      </c>
      <c r="C4" s="8">
        <v>217009</v>
      </c>
      <c r="D4" s="8">
        <v>244880</v>
      </c>
      <c r="E4" s="8">
        <v>272324</v>
      </c>
      <c r="F4" s="8">
        <v>285531</v>
      </c>
      <c r="G4" s="9">
        <v>298675</v>
      </c>
    </row>
    <row r="5" spans="1:7" ht="15.75" thickBot="1" x14ac:dyDescent="0.3">
      <c r="A5" s="10" t="s">
        <v>3</v>
      </c>
      <c r="B5" s="11">
        <v>1720</v>
      </c>
      <c r="C5" s="11">
        <v>3598</v>
      </c>
      <c r="D5" s="11">
        <v>5714</v>
      </c>
      <c r="E5" s="11">
        <v>8068</v>
      </c>
      <c r="F5" s="11">
        <v>9373</v>
      </c>
      <c r="G5" s="12">
        <v>10660</v>
      </c>
    </row>
    <row r="6" spans="1:7" x14ac:dyDescent="0.25">
      <c r="A6" s="1" t="s">
        <v>4</v>
      </c>
      <c r="B6" s="8">
        <f>B4+B5</f>
        <v>198803</v>
      </c>
      <c r="C6" s="8">
        <f t="shared" ref="C6:G6" si="0">C4+C5</f>
        <v>220607</v>
      </c>
      <c r="D6" s="8">
        <f t="shared" si="0"/>
        <v>250594</v>
      </c>
      <c r="E6" s="8">
        <f t="shared" si="0"/>
        <v>280392</v>
      </c>
      <c r="F6" s="8">
        <f t="shared" si="0"/>
        <v>294904</v>
      </c>
      <c r="G6" s="9">
        <f t="shared" si="0"/>
        <v>309335</v>
      </c>
    </row>
    <row r="7" spans="1:7" ht="30.75" thickBot="1" x14ac:dyDescent="0.3">
      <c r="A7" s="10" t="s">
        <v>5</v>
      </c>
      <c r="B7" s="13">
        <f>B4/B3</f>
        <v>2.6099214704752822</v>
      </c>
      <c r="C7" s="13">
        <f t="shared" ref="C7:G7" si="1">C4/C3</f>
        <v>2.6104775652592327</v>
      </c>
      <c r="D7" s="13">
        <f t="shared" si="1"/>
        <v>2.6106609808102346</v>
      </c>
      <c r="E7" s="13">
        <f t="shared" si="1"/>
        <v>2.6109683604985618</v>
      </c>
      <c r="F7" s="13">
        <f t="shared" si="1"/>
        <v>2.6104259423483054</v>
      </c>
      <c r="G7" s="14">
        <f t="shared" si="1"/>
        <v>2.6107954545454546</v>
      </c>
    </row>
    <row r="8" spans="1:7" x14ac:dyDescent="0.25">
      <c r="A8" s="1" t="s">
        <v>6</v>
      </c>
      <c r="B8" s="2"/>
      <c r="C8" s="8">
        <f>C6-B6</f>
        <v>21804</v>
      </c>
      <c r="D8" s="8">
        <f t="shared" ref="D8:G8" si="2">D6-C6</f>
        <v>29987</v>
      </c>
      <c r="E8" s="8">
        <f t="shared" si="2"/>
        <v>29798</v>
      </c>
      <c r="F8" s="8">
        <f t="shared" si="2"/>
        <v>14512</v>
      </c>
      <c r="G8" s="9">
        <f t="shared" si="2"/>
        <v>14431</v>
      </c>
    </row>
    <row r="9" spans="1:7" ht="15.75" thickBot="1" x14ac:dyDescent="0.3">
      <c r="A9" s="15" t="s">
        <v>7</v>
      </c>
      <c r="B9" s="16"/>
      <c r="C9" s="17">
        <f>(((C6/B6)^0.33)-1)</f>
        <v>3.4939105365358269E-2</v>
      </c>
      <c r="D9" s="17">
        <f>(((D6/C6)^0.1)-1)</f>
        <v>1.2826691440114057E-2</v>
      </c>
      <c r="E9" s="17">
        <f t="shared" ref="E9" si="3">(((E6/D6)^0.1)-1)</f>
        <v>1.1298807191127969E-2</v>
      </c>
      <c r="F9" s="17">
        <f>(((F6/E6)^0.2)-1)</f>
        <v>1.0143349634552212E-2</v>
      </c>
      <c r="G9" s="18">
        <f>(((G6/F6)^0.2)-1)</f>
        <v>9.6007851382267084E-3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8">
        <v>21592</v>
      </c>
      <c r="C11" s="8">
        <v>22018</v>
      </c>
      <c r="D11" s="8">
        <v>24522</v>
      </c>
      <c r="E11" s="8">
        <v>26967</v>
      </c>
      <c r="F11" s="8">
        <v>28409</v>
      </c>
      <c r="G11" s="9">
        <v>29807</v>
      </c>
    </row>
    <row r="12" spans="1:7" x14ac:dyDescent="0.25">
      <c r="A12" s="1" t="s">
        <v>10</v>
      </c>
      <c r="B12" s="8">
        <v>8415</v>
      </c>
      <c r="C12" s="8">
        <v>8580</v>
      </c>
      <c r="D12" s="8">
        <v>9556</v>
      </c>
      <c r="E12" s="8">
        <v>10509</v>
      </c>
      <c r="F12" s="8">
        <v>11068</v>
      </c>
      <c r="G12" s="9">
        <v>11617</v>
      </c>
    </row>
    <row r="13" spans="1:7" x14ac:dyDescent="0.25">
      <c r="A13" s="1" t="s">
        <v>11</v>
      </c>
      <c r="B13" s="8">
        <v>13539</v>
      </c>
      <c r="C13" s="8">
        <v>13805</v>
      </c>
      <c r="D13" s="8">
        <v>15375</v>
      </c>
      <c r="E13" s="8">
        <v>16909</v>
      </c>
      <c r="F13" s="8">
        <v>17814</v>
      </c>
      <c r="G13" s="9">
        <v>18690</v>
      </c>
    </row>
    <row r="14" spans="1:7" x14ac:dyDescent="0.25">
      <c r="A14" s="1" t="s">
        <v>12</v>
      </c>
      <c r="B14" s="8">
        <v>11636</v>
      </c>
      <c r="C14" s="8">
        <v>11866</v>
      </c>
      <c r="D14" s="8">
        <v>13214</v>
      </c>
      <c r="E14" s="8">
        <v>14534</v>
      </c>
      <c r="F14" s="8">
        <v>15310</v>
      </c>
      <c r="G14" s="9">
        <v>16064</v>
      </c>
    </row>
    <row r="15" spans="1:7" x14ac:dyDescent="0.25">
      <c r="A15" s="1" t="s">
        <v>13</v>
      </c>
      <c r="B15" s="8">
        <v>11981</v>
      </c>
      <c r="C15" s="8">
        <v>12217</v>
      </c>
      <c r="D15" s="8">
        <v>13607</v>
      </c>
      <c r="E15" s="8">
        <v>14963</v>
      </c>
      <c r="F15" s="8">
        <v>15772</v>
      </c>
      <c r="G15" s="9">
        <v>16539</v>
      </c>
    </row>
    <row r="16" spans="1:7" x14ac:dyDescent="0.25">
      <c r="A16" s="1" t="s">
        <v>14</v>
      </c>
      <c r="B16" s="8">
        <v>13497</v>
      </c>
      <c r="C16" s="8">
        <v>13762</v>
      </c>
      <c r="D16" s="8">
        <v>15328</v>
      </c>
      <c r="E16" s="8">
        <v>16856</v>
      </c>
      <c r="F16" s="8">
        <v>17764</v>
      </c>
      <c r="G16" s="9">
        <v>18632</v>
      </c>
    </row>
    <row r="17" spans="1:7" x14ac:dyDescent="0.25">
      <c r="A17" s="1" t="s">
        <v>15</v>
      </c>
      <c r="B17" s="8">
        <v>22912</v>
      </c>
      <c r="C17" s="8">
        <v>23362</v>
      </c>
      <c r="D17" s="8">
        <v>26020</v>
      </c>
      <c r="E17" s="8">
        <v>28616</v>
      </c>
      <c r="F17" s="8">
        <v>30137</v>
      </c>
      <c r="G17" s="9">
        <v>31629</v>
      </c>
    </row>
    <row r="18" spans="1:7" ht="15.75" thickBot="1" x14ac:dyDescent="0.3">
      <c r="A18" s="1" t="s">
        <v>16</v>
      </c>
      <c r="B18" s="8">
        <v>5920</v>
      </c>
      <c r="C18" s="8">
        <v>6036</v>
      </c>
      <c r="D18" s="8">
        <v>6723</v>
      </c>
      <c r="E18" s="8">
        <v>7393</v>
      </c>
      <c r="F18" s="8">
        <v>7795</v>
      </c>
      <c r="G18" s="9">
        <v>8171</v>
      </c>
    </row>
    <row r="19" spans="1:7" ht="15.75" thickBot="1" x14ac:dyDescent="0.3">
      <c r="A19" s="19" t="s">
        <v>17</v>
      </c>
      <c r="B19" s="20">
        <f>SUM(B11:B18)</f>
        <v>109492</v>
      </c>
      <c r="C19" s="20">
        <f t="shared" ref="C19:G19" si="4">SUM(C11:C18)</f>
        <v>111646</v>
      </c>
      <c r="D19" s="20">
        <f t="shared" si="4"/>
        <v>124345</v>
      </c>
      <c r="E19" s="20">
        <f t="shared" si="4"/>
        <v>136747</v>
      </c>
      <c r="F19" s="20">
        <f t="shared" si="4"/>
        <v>144069</v>
      </c>
      <c r="G19" s="21">
        <f t="shared" si="4"/>
        <v>151149</v>
      </c>
    </row>
    <row r="20" spans="1:7" x14ac:dyDescent="0.25">
      <c r="A20" s="1" t="s">
        <v>18</v>
      </c>
      <c r="B20" s="2"/>
      <c r="C20" s="8">
        <f>C19-B19</f>
        <v>2154</v>
      </c>
      <c r="D20" s="8">
        <f t="shared" ref="D20:G20" si="5">D19-C19</f>
        <v>12699</v>
      </c>
      <c r="E20" s="8">
        <f t="shared" si="5"/>
        <v>12402</v>
      </c>
      <c r="F20" s="8">
        <f t="shared" si="5"/>
        <v>7322</v>
      </c>
      <c r="G20" s="9">
        <f t="shared" si="5"/>
        <v>7080</v>
      </c>
    </row>
    <row r="21" spans="1:7" ht="15.75" thickBot="1" x14ac:dyDescent="0.3">
      <c r="A21" s="15" t="s">
        <v>19</v>
      </c>
      <c r="B21" s="16"/>
      <c r="C21" s="17">
        <f>(((C19/B19)^0.33)-1)</f>
        <v>6.4496592289533528E-3</v>
      </c>
      <c r="D21" s="17">
        <f>(((D19/C19)^0.1)-1)</f>
        <v>1.0830915147187703E-2</v>
      </c>
      <c r="E21" s="17">
        <f>(((E19/D19)^0.1)-1)</f>
        <v>9.5525917930228132E-3</v>
      </c>
      <c r="F21" s="17">
        <f>(((F19/E19)^0.2)-1)</f>
        <v>1.0486572353537893E-2</v>
      </c>
      <c r="G21" s="18">
        <f>(((G19/F19)^0.2)-1)</f>
        <v>9.6409279451172836E-3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8">
        <v>19619</v>
      </c>
      <c r="C23" s="8">
        <v>21400</v>
      </c>
      <c r="D23" s="8">
        <v>23866</v>
      </c>
      <c r="E23" s="8">
        <v>26108</v>
      </c>
      <c r="F23" s="8">
        <v>27148</v>
      </c>
      <c r="G23" s="9">
        <v>28175</v>
      </c>
    </row>
    <row r="24" spans="1:7" x14ac:dyDescent="0.25">
      <c r="A24" s="1" t="s">
        <v>22</v>
      </c>
      <c r="B24" s="8">
        <v>9383</v>
      </c>
      <c r="C24" s="8">
        <v>10144</v>
      </c>
      <c r="D24" s="8">
        <v>11196</v>
      </c>
      <c r="E24" s="8">
        <v>12155</v>
      </c>
      <c r="F24" s="8">
        <v>12597</v>
      </c>
      <c r="G24" s="9">
        <v>13037</v>
      </c>
    </row>
    <row r="25" spans="1:7" ht="15.75" thickBot="1" x14ac:dyDescent="0.3">
      <c r="A25" s="1" t="s">
        <v>23</v>
      </c>
      <c r="B25" s="8">
        <v>3373</v>
      </c>
      <c r="C25" s="8">
        <v>3600</v>
      </c>
      <c r="D25" s="8">
        <v>4054</v>
      </c>
      <c r="E25" s="8">
        <v>4508</v>
      </c>
      <c r="F25" s="8">
        <v>4736</v>
      </c>
      <c r="G25" s="9">
        <v>4962</v>
      </c>
    </row>
    <row r="26" spans="1:7" ht="15.75" thickBot="1" x14ac:dyDescent="0.3">
      <c r="A26" s="19" t="s">
        <v>24</v>
      </c>
      <c r="B26" s="20">
        <f>SUM(B23:B25)</f>
        <v>32375</v>
      </c>
      <c r="C26" s="20">
        <f t="shared" ref="C26:G26" si="6">SUM(C23:C25)</f>
        <v>35144</v>
      </c>
      <c r="D26" s="20">
        <f t="shared" si="6"/>
        <v>39116</v>
      </c>
      <c r="E26" s="20">
        <f t="shared" si="6"/>
        <v>42771</v>
      </c>
      <c r="F26" s="20">
        <f t="shared" si="6"/>
        <v>44481</v>
      </c>
      <c r="G26" s="21">
        <f t="shared" si="6"/>
        <v>46174</v>
      </c>
    </row>
    <row r="27" spans="1:7" x14ac:dyDescent="0.25">
      <c r="A27" s="1" t="s">
        <v>25</v>
      </c>
      <c r="B27" s="2"/>
      <c r="C27" s="8">
        <f>C26-B26</f>
        <v>2769</v>
      </c>
      <c r="D27" s="8">
        <f t="shared" ref="D27:G27" si="7">D26-C26</f>
        <v>3972</v>
      </c>
      <c r="E27" s="8">
        <f t="shared" si="7"/>
        <v>3655</v>
      </c>
      <c r="F27" s="8">
        <f t="shared" si="7"/>
        <v>1710</v>
      </c>
      <c r="G27" s="9">
        <f t="shared" si="7"/>
        <v>1693</v>
      </c>
    </row>
    <row r="28" spans="1:7" ht="30.75" thickBot="1" x14ac:dyDescent="0.3">
      <c r="A28" s="10" t="s">
        <v>26</v>
      </c>
      <c r="B28" s="13"/>
      <c r="C28" s="22">
        <f>(((C26/B26)^0.33)-1)</f>
        <v>2.7452294495686536E-2</v>
      </c>
      <c r="D28" s="22">
        <f>(((D26/C26)^0.1)-1)</f>
        <v>1.076530169725487E-2</v>
      </c>
      <c r="E28" s="22">
        <f>(((E26/D26)^0.1)-1)</f>
        <v>8.9728884005739751E-3</v>
      </c>
      <c r="F28" s="22">
        <f>(((F26/E26)^0.2)-1)</f>
        <v>7.8711819245251835E-3</v>
      </c>
      <c r="G28" s="23">
        <f>(((G26/F26)^0.2)-1)</f>
        <v>7.4989246379186802E-3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331-35C8-42F5-811E-45C128B5C003}">
  <sheetPr>
    <tabColor theme="6" tint="0.59999389629810485"/>
  </sheetPr>
  <dimension ref="A1:G28"/>
  <sheetViews>
    <sheetView workbookViewId="0">
      <selection activeCell="I9" sqref="I9:L20"/>
    </sheetView>
  </sheetViews>
  <sheetFormatPr defaultRowHeight="15" x14ac:dyDescent="0.25"/>
  <cols>
    <col min="1" max="1" width="23.7109375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 t="s">
        <v>28</v>
      </c>
      <c r="F2" s="2"/>
      <c r="G2" s="3"/>
    </row>
    <row r="3" spans="1:7" x14ac:dyDescent="0.25">
      <c r="A3" s="1" t="s">
        <v>1</v>
      </c>
      <c r="B3" s="8">
        <v>524244</v>
      </c>
      <c r="C3" s="8">
        <v>551299</v>
      </c>
      <c r="D3" s="8">
        <v>675499</v>
      </c>
      <c r="E3" s="8">
        <v>783199</v>
      </c>
      <c r="F3" s="8">
        <v>835985</v>
      </c>
      <c r="G3" s="9">
        <v>888396</v>
      </c>
    </row>
    <row r="4" spans="1:7" x14ac:dyDescent="0.25">
      <c r="A4" s="1" t="s">
        <v>2</v>
      </c>
      <c r="B4" s="8">
        <v>1199085</v>
      </c>
      <c r="C4" s="8">
        <v>1256239</v>
      </c>
      <c r="D4" s="8">
        <v>1516388</v>
      </c>
      <c r="E4" s="8">
        <v>1746499</v>
      </c>
      <c r="F4" s="8">
        <v>1860514</v>
      </c>
      <c r="G4" s="9">
        <v>1974169</v>
      </c>
    </row>
    <row r="5" spans="1:7" ht="15.75" thickBot="1" x14ac:dyDescent="0.3">
      <c r="A5" s="10" t="s">
        <v>3</v>
      </c>
      <c r="B5" s="11">
        <v>17423</v>
      </c>
      <c r="C5" s="11">
        <v>19308</v>
      </c>
      <c r="D5" s="11">
        <v>21426</v>
      </c>
      <c r="E5" s="11">
        <v>23780</v>
      </c>
      <c r="F5" s="11">
        <v>25108</v>
      </c>
      <c r="G5" s="12">
        <v>26356</v>
      </c>
    </row>
    <row r="6" spans="1:7" x14ac:dyDescent="0.25">
      <c r="A6" s="1" t="s">
        <v>4</v>
      </c>
      <c r="B6" s="8">
        <f>B4+B5</f>
        <v>1216508</v>
      </c>
      <c r="C6" s="8">
        <f t="shared" ref="C6:G6" si="0">C4+C5</f>
        <v>1275547</v>
      </c>
      <c r="D6" s="8">
        <f t="shared" si="0"/>
        <v>1537814</v>
      </c>
      <c r="E6" s="8">
        <f t="shared" si="0"/>
        <v>1770279</v>
      </c>
      <c r="F6" s="8">
        <f t="shared" si="0"/>
        <v>1885622</v>
      </c>
      <c r="G6" s="9">
        <f t="shared" si="0"/>
        <v>2000525</v>
      </c>
    </row>
    <row r="7" spans="1:7" ht="30.75" thickBot="1" x14ac:dyDescent="0.3">
      <c r="A7" s="10" t="s">
        <v>5</v>
      </c>
      <c r="B7" s="39">
        <f>B4/B3</f>
        <v>2.2872650903014629</v>
      </c>
      <c r="C7" s="39">
        <f t="shared" ref="C7:G7" si="1">C4/C3</f>
        <v>2.2786890598386718</v>
      </c>
      <c r="D7" s="39">
        <f t="shared" si="1"/>
        <v>2.2448412210824888</v>
      </c>
      <c r="E7" s="39">
        <f t="shared" si="1"/>
        <v>2.2299556051527136</v>
      </c>
      <c r="F7" s="39">
        <f t="shared" si="1"/>
        <v>2.2255351471617315</v>
      </c>
      <c r="G7" s="40">
        <f t="shared" si="1"/>
        <v>2.2221723195511913</v>
      </c>
    </row>
    <row r="8" spans="1:7" x14ac:dyDescent="0.25">
      <c r="A8" s="1" t="s">
        <v>6</v>
      </c>
      <c r="B8" s="2"/>
      <c r="C8" s="8">
        <f>C6-B6</f>
        <v>59039</v>
      </c>
      <c r="D8" s="8">
        <f t="shared" ref="D8:G8" si="2">D6-C6</f>
        <v>262267</v>
      </c>
      <c r="E8" s="8">
        <f t="shared" si="2"/>
        <v>232465</v>
      </c>
      <c r="F8" s="8">
        <f t="shared" si="2"/>
        <v>115343</v>
      </c>
      <c r="G8" s="9">
        <f t="shared" si="2"/>
        <v>114903</v>
      </c>
    </row>
    <row r="9" spans="1:7" ht="15.75" thickBot="1" x14ac:dyDescent="0.3">
      <c r="A9" s="15" t="s">
        <v>7</v>
      </c>
      <c r="B9" s="16"/>
      <c r="C9" s="17">
        <f>(((C6/B6)^0.33)-1)</f>
        <v>1.5761841217940553E-2</v>
      </c>
      <c r="D9" s="17">
        <f>(((D6/C6)^0.1)-1)</f>
        <v>1.8874597233566215E-2</v>
      </c>
      <c r="E9" s="17">
        <f t="shared" ref="E9" si="3">(((E6/D6)^0.1)-1)</f>
        <v>1.4177078325388281E-2</v>
      </c>
      <c r="F9" s="17">
        <f>(((F6/E6)^0.2)-1)</f>
        <v>1.2704136256519893E-2</v>
      </c>
      <c r="G9" s="18">
        <f>(((G6/F6)^0.2)-1)</f>
        <v>1.1900636970903378E-2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8">
        <v>100429</v>
      </c>
      <c r="C11" s="8">
        <v>112963</v>
      </c>
      <c r="D11" s="8">
        <v>123669</v>
      </c>
      <c r="E11" s="8">
        <v>136272</v>
      </c>
      <c r="F11" s="8">
        <v>141992</v>
      </c>
      <c r="G11" s="9">
        <v>147509</v>
      </c>
    </row>
    <row r="12" spans="1:7" x14ac:dyDescent="0.25">
      <c r="A12" s="1" t="s">
        <v>10</v>
      </c>
      <c r="B12" s="8">
        <v>102542</v>
      </c>
      <c r="C12" s="8">
        <v>115329</v>
      </c>
      <c r="D12" s="8">
        <v>126259</v>
      </c>
      <c r="E12" s="8">
        <v>139130</v>
      </c>
      <c r="F12" s="8">
        <v>144963</v>
      </c>
      <c r="G12" s="9">
        <v>150634</v>
      </c>
    </row>
    <row r="13" spans="1:7" x14ac:dyDescent="0.25">
      <c r="A13" s="1" t="s">
        <v>11</v>
      </c>
      <c r="B13" s="8">
        <v>80316</v>
      </c>
      <c r="C13" s="8">
        <v>90341</v>
      </c>
      <c r="D13" s="8">
        <v>98899</v>
      </c>
      <c r="E13" s="8">
        <v>108978</v>
      </c>
      <c r="F13" s="8">
        <v>113533</v>
      </c>
      <c r="G13" s="9">
        <v>117984</v>
      </c>
    </row>
    <row r="14" spans="1:7" x14ac:dyDescent="0.25">
      <c r="A14" s="1" t="s">
        <v>12</v>
      </c>
      <c r="B14" s="8">
        <v>86883</v>
      </c>
      <c r="C14" s="8">
        <v>97727</v>
      </c>
      <c r="D14" s="8">
        <v>106989</v>
      </c>
      <c r="E14" s="8">
        <v>117892</v>
      </c>
      <c r="F14" s="8">
        <v>122797</v>
      </c>
      <c r="G14" s="9">
        <v>127640</v>
      </c>
    </row>
    <row r="15" spans="1:7" x14ac:dyDescent="0.25">
      <c r="A15" s="1" t="s">
        <v>13</v>
      </c>
      <c r="B15" s="8">
        <v>110198</v>
      </c>
      <c r="C15" s="8">
        <v>123953</v>
      </c>
      <c r="D15" s="8">
        <v>135699</v>
      </c>
      <c r="E15" s="8">
        <v>149529</v>
      </c>
      <c r="F15" s="8">
        <v>155794</v>
      </c>
      <c r="G15" s="9">
        <v>161893</v>
      </c>
    </row>
    <row r="16" spans="1:7" x14ac:dyDescent="0.25">
      <c r="A16" s="1" t="s">
        <v>14</v>
      </c>
      <c r="B16" s="8">
        <v>131323</v>
      </c>
      <c r="C16" s="8">
        <v>147717</v>
      </c>
      <c r="D16" s="8">
        <v>161712</v>
      </c>
      <c r="E16" s="8">
        <v>178193</v>
      </c>
      <c r="F16" s="8">
        <v>185638</v>
      </c>
      <c r="G16" s="9">
        <v>192918</v>
      </c>
    </row>
    <row r="17" spans="1:7" x14ac:dyDescent="0.25">
      <c r="A17" s="1" t="s">
        <v>15</v>
      </c>
      <c r="B17" s="8">
        <v>294343</v>
      </c>
      <c r="C17" s="8">
        <v>331087</v>
      </c>
      <c r="D17" s="8">
        <v>362459</v>
      </c>
      <c r="E17" s="8">
        <v>399401</v>
      </c>
      <c r="F17" s="8">
        <v>415971</v>
      </c>
      <c r="G17" s="9">
        <v>432423</v>
      </c>
    </row>
    <row r="18" spans="1:7" ht="15.75" thickBot="1" x14ac:dyDescent="0.3">
      <c r="A18" s="1" t="s">
        <v>16</v>
      </c>
      <c r="B18" s="8">
        <v>49705</v>
      </c>
      <c r="C18" s="8">
        <v>55909</v>
      </c>
      <c r="D18" s="8">
        <v>61207</v>
      </c>
      <c r="E18" s="8">
        <v>67445</v>
      </c>
      <c r="F18" s="8">
        <v>70299</v>
      </c>
      <c r="G18" s="9">
        <v>73016</v>
      </c>
    </row>
    <row r="19" spans="1:7" ht="15.75" thickBot="1" x14ac:dyDescent="0.3">
      <c r="A19" s="19" t="s">
        <v>17</v>
      </c>
      <c r="B19" s="20">
        <f>SUM(B11:B18)</f>
        <v>955739</v>
      </c>
      <c r="C19" s="20">
        <f t="shared" ref="C19:G19" si="4">SUM(C11:C18)</f>
        <v>1075026</v>
      </c>
      <c r="D19" s="20">
        <f t="shared" si="4"/>
        <v>1176893</v>
      </c>
      <c r="E19" s="20">
        <f t="shared" si="4"/>
        <v>1296840</v>
      </c>
      <c r="F19" s="20">
        <f t="shared" si="4"/>
        <v>1350987</v>
      </c>
      <c r="G19" s="21">
        <f t="shared" si="4"/>
        <v>1404017</v>
      </c>
    </row>
    <row r="20" spans="1:7" x14ac:dyDescent="0.25">
      <c r="A20" s="1" t="s">
        <v>18</v>
      </c>
      <c r="B20" s="2"/>
      <c r="C20" s="8">
        <f>C19-B19</f>
        <v>119287</v>
      </c>
      <c r="D20" s="8">
        <f t="shared" ref="D20:G20" si="5">D19-C19</f>
        <v>101867</v>
      </c>
      <c r="E20" s="8">
        <f t="shared" si="5"/>
        <v>119947</v>
      </c>
      <c r="F20" s="8">
        <f t="shared" si="5"/>
        <v>54147</v>
      </c>
      <c r="G20" s="9">
        <f t="shared" si="5"/>
        <v>53030</v>
      </c>
    </row>
    <row r="21" spans="1:7" ht="15.75" thickBot="1" x14ac:dyDescent="0.3">
      <c r="A21" s="15" t="s">
        <v>19</v>
      </c>
      <c r="B21" s="16"/>
      <c r="C21" s="17">
        <f>(((C19/B19)^0.33)-1)</f>
        <v>3.9576103025811715E-2</v>
      </c>
      <c r="D21" s="17">
        <f>(((D19/C19)^0.1)-1)</f>
        <v>9.0944119060176742E-3</v>
      </c>
      <c r="E21" s="17">
        <f>(((E19/D19)^0.1)-1)</f>
        <v>9.7525108931466598E-3</v>
      </c>
      <c r="F21" s="17">
        <f>(((F19/E19)^0.2)-1)</f>
        <v>8.2145357228275984E-3</v>
      </c>
      <c r="G21" s="18">
        <f>(((G19/F19)^0.2)-1)</f>
        <v>7.7301197650028186E-3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8">
        <v>128435</v>
      </c>
      <c r="C23" s="8">
        <v>131703</v>
      </c>
      <c r="D23" s="8">
        <v>154616</v>
      </c>
      <c r="E23" s="8">
        <v>172529</v>
      </c>
      <c r="F23" s="8">
        <v>177572</v>
      </c>
      <c r="G23" s="9">
        <v>182572</v>
      </c>
    </row>
    <row r="24" spans="1:7" x14ac:dyDescent="0.25">
      <c r="A24" s="1" t="s">
        <v>22</v>
      </c>
      <c r="B24" s="8">
        <v>54416</v>
      </c>
      <c r="C24" s="8">
        <v>55346</v>
      </c>
      <c r="D24" s="8">
        <v>60265</v>
      </c>
      <c r="E24" s="8">
        <v>70148</v>
      </c>
      <c r="F24" s="8">
        <v>73145</v>
      </c>
      <c r="G24" s="9">
        <v>76127</v>
      </c>
    </row>
    <row r="25" spans="1:7" ht="15.75" thickBot="1" x14ac:dyDescent="0.3">
      <c r="A25" s="1" t="s">
        <v>23</v>
      </c>
      <c r="B25" s="8">
        <v>82697</v>
      </c>
      <c r="C25" s="8">
        <v>84677</v>
      </c>
      <c r="D25" s="8">
        <v>88638</v>
      </c>
      <c r="E25" s="8">
        <v>92600</v>
      </c>
      <c r="F25" s="8">
        <v>94587</v>
      </c>
      <c r="G25" s="9">
        <v>96563</v>
      </c>
    </row>
    <row r="26" spans="1:7" ht="15.75" thickBot="1" x14ac:dyDescent="0.3">
      <c r="A26" s="19" t="s">
        <v>24</v>
      </c>
      <c r="B26" s="20">
        <f>SUM(B23:B25)</f>
        <v>265548</v>
      </c>
      <c r="C26" s="20">
        <f t="shared" ref="C26:G26" si="6">SUM(C23:C25)</f>
        <v>271726</v>
      </c>
      <c r="D26" s="20">
        <f t="shared" si="6"/>
        <v>303519</v>
      </c>
      <c r="E26" s="20">
        <f t="shared" si="6"/>
        <v>335277</v>
      </c>
      <c r="F26" s="20">
        <f t="shared" si="6"/>
        <v>345304</v>
      </c>
      <c r="G26" s="21">
        <f t="shared" si="6"/>
        <v>355262</v>
      </c>
    </row>
    <row r="27" spans="1:7" x14ac:dyDescent="0.25">
      <c r="A27" s="1" t="s">
        <v>25</v>
      </c>
      <c r="B27" s="2"/>
      <c r="C27" s="8">
        <f>C26-B26</f>
        <v>6178</v>
      </c>
      <c r="D27" s="8">
        <f t="shared" ref="D27:G27" si="7">D26-C26</f>
        <v>31793</v>
      </c>
      <c r="E27" s="8">
        <f t="shared" si="7"/>
        <v>31758</v>
      </c>
      <c r="F27" s="8">
        <f t="shared" si="7"/>
        <v>10027</v>
      </c>
      <c r="G27" s="9">
        <f t="shared" si="7"/>
        <v>9958</v>
      </c>
    </row>
    <row r="28" spans="1:7" ht="14.45" customHeight="1" thickBot="1" x14ac:dyDescent="0.3">
      <c r="A28" s="10" t="s">
        <v>26</v>
      </c>
      <c r="B28" s="13"/>
      <c r="C28" s="22">
        <f>(((C26/B26)^0.33)-1)</f>
        <v>7.6184083282155868E-3</v>
      </c>
      <c r="D28" s="22">
        <f>(((D26/C26)^0.1)-1)</f>
        <v>1.1126444121285939E-2</v>
      </c>
      <c r="E28" s="22">
        <f>(((E26/D26)^0.1)-1)</f>
        <v>1.0000963115699868E-2</v>
      </c>
      <c r="F28" s="22">
        <f>(((F26/E26)^0.2)-1)</f>
        <v>5.9110281115590801E-3</v>
      </c>
      <c r="G28" s="23">
        <f>(((G26/F26)^0.2)-1)</f>
        <v>5.7022677827378576E-3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FEEE-F8E3-4420-9A3A-EC4DF7361BD4}">
  <sheetPr>
    <tabColor theme="6" tint="0.59999389629810485"/>
  </sheetPr>
  <dimension ref="A1:G28"/>
  <sheetViews>
    <sheetView workbookViewId="0">
      <selection activeCell="I8" sqref="I8:L21"/>
    </sheetView>
  </sheetViews>
  <sheetFormatPr defaultRowHeight="15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 t="s">
        <v>28</v>
      </c>
      <c r="F2" s="2"/>
      <c r="G2" s="3"/>
    </row>
    <row r="3" spans="1:7" x14ac:dyDescent="0.25">
      <c r="A3" s="1" t="s">
        <v>1</v>
      </c>
      <c r="B3" s="8">
        <v>92720</v>
      </c>
      <c r="C3" s="8">
        <v>97500</v>
      </c>
      <c r="D3" s="8">
        <v>112100</v>
      </c>
      <c r="E3" s="8">
        <v>128700</v>
      </c>
      <c r="F3" s="8">
        <v>137046</v>
      </c>
      <c r="G3" s="9">
        <v>145300</v>
      </c>
    </row>
    <row r="4" spans="1:7" x14ac:dyDescent="0.25">
      <c r="A4" s="1" t="s">
        <v>2</v>
      </c>
      <c r="B4" s="8">
        <v>270731</v>
      </c>
      <c r="C4" s="8">
        <v>284700</v>
      </c>
      <c r="D4" s="8">
        <v>327348</v>
      </c>
      <c r="E4" s="8">
        <v>375830</v>
      </c>
      <c r="F4" s="8">
        <v>400129</v>
      </c>
      <c r="G4" s="9">
        <v>424314</v>
      </c>
    </row>
    <row r="5" spans="1:7" ht="15.75" thickBot="1" x14ac:dyDescent="0.3">
      <c r="A5" s="10" t="s">
        <v>3</v>
      </c>
      <c r="B5" s="11">
        <v>4100</v>
      </c>
      <c r="C5" s="11">
        <v>5977</v>
      </c>
      <c r="D5" s="11">
        <v>8098</v>
      </c>
      <c r="E5" s="11">
        <v>10454</v>
      </c>
      <c r="F5" s="11">
        <v>11753</v>
      </c>
      <c r="G5" s="12">
        <v>13037</v>
      </c>
    </row>
    <row r="6" spans="1:7" x14ac:dyDescent="0.25">
      <c r="A6" s="1" t="s">
        <v>4</v>
      </c>
      <c r="B6" s="8">
        <f>B4+B5</f>
        <v>274831</v>
      </c>
      <c r="C6" s="8">
        <f t="shared" ref="C6:G6" si="0">C4+C5</f>
        <v>290677</v>
      </c>
      <c r="D6" s="8">
        <f t="shared" si="0"/>
        <v>335446</v>
      </c>
      <c r="E6" s="8">
        <f t="shared" si="0"/>
        <v>386284</v>
      </c>
      <c r="F6" s="8">
        <f t="shared" si="0"/>
        <v>411882</v>
      </c>
      <c r="G6" s="9">
        <f t="shared" si="0"/>
        <v>437351</v>
      </c>
    </row>
    <row r="7" spans="1:7" ht="30.75" thickBot="1" x14ac:dyDescent="0.3">
      <c r="A7" s="10" t="s">
        <v>5</v>
      </c>
      <c r="B7" s="13">
        <f>B4/B3</f>
        <v>2.9198770491803279</v>
      </c>
      <c r="C7" s="13">
        <f t="shared" ref="C7:G7" si="1">C4/C3</f>
        <v>2.92</v>
      </c>
      <c r="D7" s="13">
        <f t="shared" si="1"/>
        <v>2.9201427297056202</v>
      </c>
      <c r="E7" s="13">
        <f t="shared" si="1"/>
        <v>2.9202020202020202</v>
      </c>
      <c r="F7" s="13">
        <f t="shared" si="1"/>
        <v>2.9196693081155232</v>
      </c>
      <c r="G7" s="14">
        <f t="shared" si="1"/>
        <v>2.9202615278733655</v>
      </c>
    </row>
    <row r="8" spans="1:7" x14ac:dyDescent="0.25">
      <c r="A8" s="1" t="s">
        <v>6</v>
      </c>
      <c r="B8" s="2"/>
      <c r="C8" s="8">
        <f>C6-B6</f>
        <v>15846</v>
      </c>
      <c r="D8" s="8">
        <f t="shared" ref="D8:G8" si="2">D6-C6</f>
        <v>44769</v>
      </c>
      <c r="E8" s="8">
        <f t="shared" si="2"/>
        <v>50838</v>
      </c>
      <c r="F8" s="8">
        <f t="shared" si="2"/>
        <v>25598</v>
      </c>
      <c r="G8" s="9">
        <f t="shared" si="2"/>
        <v>25469</v>
      </c>
    </row>
    <row r="9" spans="1:7" ht="15.75" thickBot="1" x14ac:dyDescent="0.3">
      <c r="A9" s="15" t="s">
        <v>7</v>
      </c>
      <c r="B9" s="16"/>
      <c r="C9" s="17">
        <f>(((C6/B6)^0.33)-1)</f>
        <v>1.8670744954354834E-2</v>
      </c>
      <c r="D9" s="17">
        <f>(((D6/C6)^0.1)-1)</f>
        <v>1.4427922513315039E-2</v>
      </c>
      <c r="E9" s="17">
        <f t="shared" ref="E9" si="3">(((E6/D6)^0.1)-1)</f>
        <v>1.4211218816188254E-2</v>
      </c>
      <c r="F9" s="17">
        <f>(((F6/E6)^0.2)-1)</f>
        <v>1.2915503926455019E-2</v>
      </c>
      <c r="G9" s="18">
        <f>(((G6/F6)^0.2)-1)</f>
        <v>1.207212203639485E-2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8">
        <v>18015</v>
      </c>
      <c r="C11" s="8">
        <v>19448</v>
      </c>
      <c r="D11" s="8">
        <v>22006</v>
      </c>
      <c r="E11" s="8">
        <v>24758</v>
      </c>
      <c r="F11" s="8">
        <v>26378</v>
      </c>
      <c r="G11" s="9">
        <v>27955</v>
      </c>
    </row>
    <row r="12" spans="1:7" x14ac:dyDescent="0.25">
      <c r="A12" s="1" t="s">
        <v>10</v>
      </c>
      <c r="B12" s="8">
        <v>4616</v>
      </c>
      <c r="C12" s="8">
        <v>4995</v>
      </c>
      <c r="D12" s="8">
        <v>5651</v>
      </c>
      <c r="E12" s="8">
        <v>6355</v>
      </c>
      <c r="F12" s="8">
        <v>6769</v>
      </c>
      <c r="G12" s="9">
        <v>7167</v>
      </c>
    </row>
    <row r="13" spans="1:7" x14ac:dyDescent="0.25">
      <c r="A13" s="1" t="s">
        <v>11</v>
      </c>
      <c r="B13" s="8">
        <v>9286</v>
      </c>
      <c r="C13" s="8">
        <v>10024</v>
      </c>
      <c r="D13" s="8">
        <v>11341</v>
      </c>
      <c r="E13" s="8">
        <v>12759</v>
      </c>
      <c r="F13" s="8">
        <v>13594</v>
      </c>
      <c r="G13" s="9">
        <v>14393</v>
      </c>
    </row>
    <row r="14" spans="1:7" x14ac:dyDescent="0.25">
      <c r="A14" s="1" t="s">
        <v>12</v>
      </c>
      <c r="B14" s="8">
        <v>11002</v>
      </c>
      <c r="C14" s="8">
        <v>11877</v>
      </c>
      <c r="D14" s="8">
        <v>13438</v>
      </c>
      <c r="E14" s="8">
        <v>15118</v>
      </c>
      <c r="F14" s="8">
        <v>16098</v>
      </c>
      <c r="G14" s="9">
        <v>17053</v>
      </c>
    </row>
    <row r="15" spans="1:7" x14ac:dyDescent="0.25">
      <c r="A15" s="1" t="s">
        <v>13</v>
      </c>
      <c r="B15" s="8">
        <v>7125</v>
      </c>
      <c r="C15" s="8">
        <v>7691</v>
      </c>
      <c r="D15" s="8">
        <v>8703</v>
      </c>
      <c r="E15" s="8">
        <v>9790</v>
      </c>
      <c r="F15" s="8">
        <v>10428</v>
      </c>
      <c r="G15" s="9">
        <v>11045</v>
      </c>
    </row>
    <row r="16" spans="1:7" x14ac:dyDescent="0.25">
      <c r="A16" s="1" t="s">
        <v>14</v>
      </c>
      <c r="B16" s="8">
        <v>7422</v>
      </c>
      <c r="C16" s="8">
        <v>8012</v>
      </c>
      <c r="D16" s="8">
        <v>9066</v>
      </c>
      <c r="E16" s="8">
        <v>10199</v>
      </c>
      <c r="F16" s="8">
        <v>10875</v>
      </c>
      <c r="G16" s="9">
        <v>11514</v>
      </c>
    </row>
    <row r="17" spans="1:7" x14ac:dyDescent="0.25">
      <c r="A17" s="1" t="s">
        <v>15</v>
      </c>
      <c r="B17" s="8">
        <v>41536</v>
      </c>
      <c r="C17" s="8">
        <v>44838</v>
      </c>
      <c r="D17" s="8">
        <v>50736</v>
      </c>
      <c r="E17" s="8">
        <v>57076</v>
      </c>
      <c r="F17" s="8">
        <v>60750</v>
      </c>
      <c r="G17" s="9">
        <v>64383</v>
      </c>
    </row>
    <row r="18" spans="1:7" ht="15.75" thickBot="1" x14ac:dyDescent="0.3">
      <c r="A18" s="1" t="s">
        <v>16</v>
      </c>
      <c r="B18" s="8">
        <v>11870</v>
      </c>
      <c r="C18" s="8">
        <v>12814</v>
      </c>
      <c r="D18" s="8">
        <v>14499</v>
      </c>
      <c r="E18" s="8">
        <v>16314</v>
      </c>
      <c r="F18" s="8">
        <v>17374</v>
      </c>
      <c r="G18" s="9">
        <v>18406</v>
      </c>
    </row>
    <row r="19" spans="1:7" ht="15.75" thickBot="1" x14ac:dyDescent="0.3">
      <c r="A19" s="19" t="s">
        <v>17</v>
      </c>
      <c r="B19" s="20">
        <f>SUM(B11:B18)</f>
        <v>110872</v>
      </c>
      <c r="C19" s="20">
        <f t="shared" ref="C19:G19" si="4">SUM(C11:C18)</f>
        <v>119699</v>
      </c>
      <c r="D19" s="20">
        <f t="shared" si="4"/>
        <v>135440</v>
      </c>
      <c r="E19" s="20">
        <f t="shared" si="4"/>
        <v>152369</v>
      </c>
      <c r="F19" s="20">
        <f t="shared" si="4"/>
        <v>162266</v>
      </c>
      <c r="G19" s="21">
        <f t="shared" si="4"/>
        <v>171916</v>
      </c>
    </row>
    <row r="20" spans="1:7" x14ac:dyDescent="0.25">
      <c r="A20" s="1" t="s">
        <v>18</v>
      </c>
      <c r="B20" s="2"/>
      <c r="C20" s="8">
        <f>C19-B19</f>
        <v>8827</v>
      </c>
      <c r="D20" s="8">
        <f t="shared" ref="D20:G20" si="5">D19-C19</f>
        <v>15741</v>
      </c>
      <c r="E20" s="8">
        <f t="shared" si="5"/>
        <v>16929</v>
      </c>
      <c r="F20" s="8">
        <f t="shared" si="5"/>
        <v>9897</v>
      </c>
      <c r="G20" s="9">
        <f t="shared" si="5"/>
        <v>9650</v>
      </c>
    </row>
    <row r="21" spans="1:7" ht="15.75" thickBot="1" x14ac:dyDescent="0.3">
      <c r="A21" s="15" t="s">
        <v>19</v>
      </c>
      <c r="B21" s="16"/>
      <c r="C21" s="17">
        <f>(((C19/B19)^0.33)-1)</f>
        <v>2.5601509422921831E-2</v>
      </c>
      <c r="D21" s="17">
        <f>(((D19/C19)^0.1)-1)</f>
        <v>1.2431484370649892E-2</v>
      </c>
      <c r="E21" s="17">
        <f>(((E19/D19)^0.1)-1)</f>
        <v>1.1847276842906096E-2</v>
      </c>
      <c r="F21" s="17">
        <f>(((F19/E19)^0.2)-1)</f>
        <v>1.2665892170993232E-2</v>
      </c>
      <c r="G21" s="18">
        <f>(((G19/F19)^0.2)-1)</f>
        <v>1.1620807285559254E-2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8">
        <v>28442</v>
      </c>
      <c r="C23" s="8">
        <v>31301</v>
      </c>
      <c r="D23" s="8">
        <v>35351</v>
      </c>
      <c r="E23" s="8">
        <v>39775</v>
      </c>
      <c r="F23" s="8">
        <v>41915</v>
      </c>
      <c r="G23" s="9">
        <v>44037</v>
      </c>
    </row>
    <row r="24" spans="1:7" x14ac:dyDescent="0.25">
      <c r="A24" s="1" t="s">
        <v>22</v>
      </c>
      <c r="B24" s="8">
        <v>14492</v>
      </c>
      <c r="C24" s="8">
        <v>15877</v>
      </c>
      <c r="D24" s="8">
        <v>17841</v>
      </c>
      <c r="E24" s="8">
        <v>19985</v>
      </c>
      <c r="F24" s="8">
        <v>21021</v>
      </c>
      <c r="G24" s="9">
        <v>22051</v>
      </c>
    </row>
    <row r="25" spans="1:7" ht="15.75" thickBot="1" x14ac:dyDescent="0.3">
      <c r="A25" s="1" t="s">
        <v>23</v>
      </c>
      <c r="B25" s="8">
        <v>6235</v>
      </c>
      <c r="C25" s="8">
        <v>6778</v>
      </c>
      <c r="D25" s="8">
        <v>7863</v>
      </c>
      <c r="E25" s="8">
        <v>8949</v>
      </c>
      <c r="F25" s="8">
        <v>9492</v>
      </c>
      <c r="G25" s="9">
        <v>10034</v>
      </c>
    </row>
    <row r="26" spans="1:7" ht="15.75" thickBot="1" x14ac:dyDescent="0.3">
      <c r="A26" s="19" t="s">
        <v>24</v>
      </c>
      <c r="B26" s="20">
        <f>SUM(B23:B25)</f>
        <v>49169</v>
      </c>
      <c r="C26" s="20">
        <f t="shared" ref="C26:G26" si="6">SUM(C23:C25)</f>
        <v>53956</v>
      </c>
      <c r="D26" s="20">
        <f t="shared" si="6"/>
        <v>61055</v>
      </c>
      <c r="E26" s="20">
        <f t="shared" si="6"/>
        <v>68709</v>
      </c>
      <c r="F26" s="20">
        <f t="shared" si="6"/>
        <v>72428</v>
      </c>
      <c r="G26" s="21">
        <f t="shared" si="6"/>
        <v>76122</v>
      </c>
    </row>
    <row r="27" spans="1:7" x14ac:dyDescent="0.25">
      <c r="A27" s="1" t="s">
        <v>25</v>
      </c>
      <c r="B27" s="2"/>
      <c r="C27" s="8">
        <f>C26-B26</f>
        <v>4787</v>
      </c>
      <c r="D27" s="8">
        <f t="shared" ref="D27:G27" si="7">D26-C26</f>
        <v>7099</v>
      </c>
      <c r="E27" s="8">
        <f t="shared" si="7"/>
        <v>7654</v>
      </c>
      <c r="F27" s="8">
        <f t="shared" si="7"/>
        <v>3719</v>
      </c>
      <c r="G27" s="9">
        <f t="shared" si="7"/>
        <v>3694</v>
      </c>
    </row>
    <row r="28" spans="1:7" ht="14.45" customHeight="1" thickBot="1" x14ac:dyDescent="0.3">
      <c r="A28" s="10" t="s">
        <v>26</v>
      </c>
      <c r="B28" s="13"/>
      <c r="C28" s="22">
        <f>(((C26/B26)^0.33)-1)</f>
        <v>3.1133655587745501E-2</v>
      </c>
      <c r="D28" s="22">
        <f>(((D26/C26)^0.1)-1)</f>
        <v>1.2437327956039912E-2</v>
      </c>
      <c r="E28" s="22">
        <f>(((E26/D26)^0.1)-1)</f>
        <v>1.1880529227163317E-2</v>
      </c>
      <c r="F28" s="22">
        <f>(((F26/E26)^0.2)-1)</f>
        <v>1.0598322519639991E-2</v>
      </c>
      <c r="G28" s="23">
        <f>(((G26/F26)^0.2)-1)</f>
        <v>9.998524827857791E-3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F907E-D8B6-4266-A39B-B8B2869AD0EC}">
  <sheetPr>
    <tabColor theme="6" tint="0.59999389629810485"/>
  </sheetPr>
  <dimension ref="A1:G28"/>
  <sheetViews>
    <sheetView workbookViewId="0">
      <selection activeCell="I8" sqref="I8:L22"/>
    </sheetView>
  </sheetViews>
  <sheetFormatPr defaultRowHeight="15" x14ac:dyDescent="0.25"/>
  <cols>
    <col min="1" max="1" width="23.7109375" customWidth="1"/>
    <col min="2" max="7" width="7.5703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31" t="s">
        <v>0</v>
      </c>
      <c r="B2" s="27"/>
      <c r="C2" s="27"/>
      <c r="D2" s="27"/>
      <c r="E2" s="25" t="s">
        <v>28</v>
      </c>
      <c r="F2" s="42"/>
      <c r="G2" s="3"/>
    </row>
    <row r="3" spans="1:7" x14ac:dyDescent="0.25">
      <c r="A3" s="1" t="s">
        <v>1</v>
      </c>
      <c r="B3" s="8">
        <v>25527</v>
      </c>
      <c r="C3" s="8">
        <v>26699</v>
      </c>
      <c r="D3" s="8">
        <v>27669</v>
      </c>
      <c r="E3" s="8">
        <v>28190</v>
      </c>
      <c r="F3" s="8">
        <v>28481</v>
      </c>
      <c r="G3" s="9">
        <v>28755</v>
      </c>
    </row>
    <row r="4" spans="1:7" x14ac:dyDescent="0.25">
      <c r="A4" s="1" t="s">
        <v>2</v>
      </c>
      <c r="B4" s="8">
        <v>62451</v>
      </c>
      <c r="C4" s="8">
        <v>65318</v>
      </c>
      <c r="D4" s="8">
        <v>67691</v>
      </c>
      <c r="E4" s="8">
        <v>68961</v>
      </c>
      <c r="F4" s="8">
        <v>69654</v>
      </c>
      <c r="G4" s="9">
        <v>70338</v>
      </c>
    </row>
    <row r="5" spans="1:7" ht="15.75" thickBot="1" x14ac:dyDescent="0.3">
      <c r="A5" s="10" t="s">
        <v>3</v>
      </c>
      <c r="B5" s="11">
        <v>2031</v>
      </c>
      <c r="C5" s="11">
        <v>3912</v>
      </c>
      <c r="D5" s="11">
        <v>6030</v>
      </c>
      <c r="E5" s="11">
        <v>8385</v>
      </c>
      <c r="F5" s="11">
        <v>9684</v>
      </c>
      <c r="G5" s="12">
        <v>10966</v>
      </c>
    </row>
    <row r="6" spans="1:7" x14ac:dyDescent="0.25">
      <c r="A6" s="30" t="s">
        <v>4</v>
      </c>
      <c r="B6" s="28">
        <f>B4+B5</f>
        <v>64482</v>
      </c>
      <c r="C6" s="28">
        <f t="shared" ref="C6:G6" si="0">C4+C5</f>
        <v>69230</v>
      </c>
      <c r="D6" s="28">
        <f t="shared" si="0"/>
        <v>73721</v>
      </c>
      <c r="E6" s="28">
        <f t="shared" si="0"/>
        <v>77346</v>
      </c>
      <c r="F6" s="43">
        <f t="shared" si="0"/>
        <v>79338</v>
      </c>
      <c r="G6" s="9">
        <f t="shared" si="0"/>
        <v>81304</v>
      </c>
    </row>
    <row r="7" spans="1:7" ht="30.75" thickBot="1" x14ac:dyDescent="0.3">
      <c r="A7" s="10" t="s">
        <v>5</v>
      </c>
      <c r="B7" s="39">
        <f>B4/B3</f>
        <v>2.4464684451756962</v>
      </c>
      <c r="C7" s="39">
        <f t="shared" ref="C7:G7" si="1">C4/C3</f>
        <v>2.4464586688640022</v>
      </c>
      <c r="D7" s="39">
        <f t="shared" si="1"/>
        <v>2.4464563229607141</v>
      </c>
      <c r="E7" s="39">
        <f t="shared" si="1"/>
        <v>2.4462930117062789</v>
      </c>
      <c r="F7" s="39">
        <f t="shared" si="1"/>
        <v>2.4456304202801866</v>
      </c>
      <c r="G7" s="40">
        <f t="shared" si="1"/>
        <v>2.4461137193531561</v>
      </c>
    </row>
    <row r="8" spans="1:7" x14ac:dyDescent="0.25">
      <c r="A8" s="30" t="s">
        <v>6</v>
      </c>
      <c r="B8" s="25"/>
      <c r="C8" s="28">
        <f>C6-B6</f>
        <v>4748</v>
      </c>
      <c r="D8" s="28">
        <f t="shared" ref="D8:G8" si="2">D6-C6</f>
        <v>4491</v>
      </c>
      <c r="E8" s="28">
        <f t="shared" si="2"/>
        <v>3625</v>
      </c>
      <c r="F8" s="43">
        <f t="shared" si="2"/>
        <v>1992</v>
      </c>
      <c r="G8" s="9">
        <f t="shared" si="2"/>
        <v>1966</v>
      </c>
    </row>
    <row r="9" spans="1:7" ht="15.75" thickBot="1" x14ac:dyDescent="0.3">
      <c r="A9" s="15" t="s">
        <v>7</v>
      </c>
      <c r="B9" s="16"/>
      <c r="C9" s="17">
        <f>(((C6/B6)^0.33)-1)</f>
        <v>2.3722915090336194E-2</v>
      </c>
      <c r="D9" s="17">
        <f>(((D6/C6)^0.1)-1)</f>
        <v>6.305134486582098E-3</v>
      </c>
      <c r="E9" s="17">
        <f t="shared" ref="E9" si="3">(((E6/D6)^0.1)-1)</f>
        <v>4.8116555287045504E-3</v>
      </c>
      <c r="F9" s="17">
        <f>(((F6/E6)^0.2)-1)</f>
        <v>5.0986227869784795E-3</v>
      </c>
      <c r="G9" s="18">
        <f>(((G6/F6)^0.2)-1)</f>
        <v>4.9076048444400833E-3</v>
      </c>
    </row>
    <row r="10" spans="1:7" ht="15.75" thickTop="1" x14ac:dyDescent="0.25">
      <c r="A10" s="32" t="s">
        <v>8</v>
      </c>
      <c r="B10" s="29"/>
      <c r="C10" s="29"/>
      <c r="D10" s="29"/>
      <c r="E10" s="29"/>
      <c r="F10" s="42"/>
      <c r="G10" s="3"/>
    </row>
    <row r="11" spans="1:7" x14ac:dyDescent="0.25">
      <c r="A11" s="1" t="s">
        <v>9</v>
      </c>
      <c r="B11" s="8">
        <v>2939</v>
      </c>
      <c r="C11" s="8">
        <v>3324</v>
      </c>
      <c r="D11" s="8">
        <v>3632</v>
      </c>
      <c r="E11" s="8">
        <v>3997</v>
      </c>
      <c r="F11" s="8">
        <v>4180</v>
      </c>
      <c r="G11" s="9">
        <v>4348</v>
      </c>
    </row>
    <row r="12" spans="1:7" x14ac:dyDescent="0.25">
      <c r="A12" s="1" t="s">
        <v>10</v>
      </c>
      <c r="B12" s="8">
        <v>1899</v>
      </c>
      <c r="C12" s="8">
        <v>2119</v>
      </c>
      <c r="D12" s="8">
        <v>2294</v>
      </c>
      <c r="E12" s="8">
        <v>2501</v>
      </c>
      <c r="F12" s="8">
        <v>2604</v>
      </c>
      <c r="G12" s="9">
        <v>2701</v>
      </c>
    </row>
    <row r="13" spans="1:7" x14ac:dyDescent="0.25">
      <c r="A13" s="1" t="s">
        <v>11</v>
      </c>
      <c r="B13" s="8">
        <v>3760</v>
      </c>
      <c r="C13" s="8">
        <v>4100</v>
      </c>
      <c r="D13" s="8">
        <v>4372</v>
      </c>
      <c r="E13" s="8">
        <v>4694</v>
      </c>
      <c r="F13" s="8">
        <v>4853</v>
      </c>
      <c r="G13" s="9">
        <v>5004</v>
      </c>
    </row>
    <row r="14" spans="1:7" x14ac:dyDescent="0.25">
      <c r="A14" s="1" t="s">
        <v>12</v>
      </c>
      <c r="B14" s="8">
        <v>2889</v>
      </c>
      <c r="C14" s="8">
        <v>3124</v>
      </c>
      <c r="D14" s="8">
        <v>3312</v>
      </c>
      <c r="E14" s="8">
        <v>3534</v>
      </c>
      <c r="F14" s="8">
        <v>3645</v>
      </c>
      <c r="G14" s="9">
        <v>3747</v>
      </c>
    </row>
    <row r="15" spans="1:7" x14ac:dyDescent="0.25">
      <c r="A15" s="1" t="s">
        <v>13</v>
      </c>
      <c r="B15" s="8">
        <v>4372</v>
      </c>
      <c r="C15" s="8">
        <v>4805</v>
      </c>
      <c r="D15" s="8">
        <v>5149</v>
      </c>
      <c r="E15" s="8">
        <v>5558</v>
      </c>
      <c r="F15" s="8">
        <v>5762</v>
      </c>
      <c r="G15" s="9">
        <v>5951</v>
      </c>
    </row>
    <row r="16" spans="1:7" x14ac:dyDescent="0.25">
      <c r="A16" s="1" t="s">
        <v>14</v>
      </c>
      <c r="B16" s="8">
        <v>2806</v>
      </c>
      <c r="C16" s="8">
        <v>3057</v>
      </c>
      <c r="D16" s="8">
        <v>3257</v>
      </c>
      <c r="E16" s="8">
        <v>3494</v>
      </c>
      <c r="F16" s="8">
        <v>3610</v>
      </c>
      <c r="G16" s="9">
        <v>3721</v>
      </c>
    </row>
    <row r="17" spans="1:7" x14ac:dyDescent="0.25">
      <c r="A17" s="1" t="s">
        <v>15</v>
      </c>
      <c r="B17" s="8">
        <v>5666</v>
      </c>
      <c r="C17" s="8">
        <v>6303</v>
      </c>
      <c r="D17" s="8">
        <v>6811</v>
      </c>
      <c r="E17" s="8">
        <v>7416</v>
      </c>
      <c r="F17" s="8">
        <v>7712</v>
      </c>
      <c r="G17" s="9">
        <v>7995</v>
      </c>
    </row>
    <row r="18" spans="1:7" ht="15.75" thickBot="1" x14ac:dyDescent="0.3">
      <c r="A18" s="10" t="s">
        <v>16</v>
      </c>
      <c r="B18" s="11">
        <v>2287</v>
      </c>
      <c r="C18" s="11">
        <v>2557</v>
      </c>
      <c r="D18" s="11">
        <v>2773</v>
      </c>
      <c r="E18" s="11">
        <v>3029</v>
      </c>
      <c r="F18" s="43">
        <v>3158</v>
      </c>
      <c r="G18" s="9">
        <v>3276</v>
      </c>
    </row>
    <row r="19" spans="1:7" ht="15.75" thickBot="1" x14ac:dyDescent="0.3">
      <c r="A19" s="19" t="s">
        <v>17</v>
      </c>
      <c r="B19" s="20">
        <f>SUM(B11:B18)</f>
        <v>26618</v>
      </c>
      <c r="C19" s="20">
        <f t="shared" ref="C19:G19" si="4">SUM(C11:C18)</f>
        <v>29389</v>
      </c>
      <c r="D19" s="20">
        <f t="shared" si="4"/>
        <v>31600</v>
      </c>
      <c r="E19" s="20">
        <f t="shared" si="4"/>
        <v>34223</v>
      </c>
      <c r="F19" s="20">
        <f t="shared" si="4"/>
        <v>35524</v>
      </c>
      <c r="G19" s="21">
        <f t="shared" si="4"/>
        <v>36743</v>
      </c>
    </row>
    <row r="20" spans="1:7" x14ac:dyDescent="0.25">
      <c r="A20" s="30" t="s">
        <v>18</v>
      </c>
      <c r="B20" s="25"/>
      <c r="C20" s="28">
        <f>C19-B19</f>
        <v>2771</v>
      </c>
      <c r="D20" s="28">
        <f t="shared" ref="D20:G20" si="5">D19-C19</f>
        <v>2211</v>
      </c>
      <c r="E20" s="28">
        <f t="shared" si="5"/>
        <v>2623</v>
      </c>
      <c r="F20" s="43">
        <f t="shared" si="5"/>
        <v>1301</v>
      </c>
      <c r="G20" s="9">
        <f t="shared" si="5"/>
        <v>1219</v>
      </c>
    </row>
    <row r="21" spans="1:7" ht="15.75" thickBot="1" x14ac:dyDescent="0.3">
      <c r="A21" s="15" t="s">
        <v>19</v>
      </c>
      <c r="B21" s="16"/>
      <c r="C21" s="17">
        <f>(((C19/B19)^0.33)-1)</f>
        <v>3.3220699174350887E-2</v>
      </c>
      <c r="D21" s="17">
        <f>(((D19/C19)^0.1)-1)</f>
        <v>7.2800381564179784E-3</v>
      </c>
      <c r="E21" s="17">
        <f>(((E19/D19)^0.1)-1)</f>
        <v>8.0059588667855675E-3</v>
      </c>
      <c r="F21" s="17">
        <f>(((F19/E19)^0.2)-1)</f>
        <v>7.4900293358499681E-3</v>
      </c>
      <c r="G21" s="18">
        <f>(((G19/F19)^0.2)-1)</f>
        <v>6.7706593626839506E-3</v>
      </c>
    </row>
    <row r="22" spans="1:7" ht="15.75" thickTop="1" x14ac:dyDescent="0.25">
      <c r="A22" s="32" t="s">
        <v>20</v>
      </c>
      <c r="B22" s="29"/>
      <c r="C22" s="29"/>
      <c r="D22" s="29"/>
      <c r="E22" s="29"/>
      <c r="F22" s="42"/>
      <c r="G22" s="3"/>
    </row>
    <row r="23" spans="1:7" x14ac:dyDescent="0.25">
      <c r="A23" s="1" t="s">
        <v>21</v>
      </c>
      <c r="B23" s="8">
        <v>5996</v>
      </c>
      <c r="C23" s="8">
        <v>5996</v>
      </c>
      <c r="D23" s="8">
        <v>6163</v>
      </c>
      <c r="E23" s="8">
        <v>6187</v>
      </c>
      <c r="F23" s="8">
        <v>6202</v>
      </c>
      <c r="G23" s="9">
        <v>6217</v>
      </c>
    </row>
    <row r="24" spans="1:7" x14ac:dyDescent="0.25">
      <c r="A24" s="1" t="s">
        <v>22</v>
      </c>
      <c r="B24" s="8">
        <v>2583</v>
      </c>
      <c r="C24" s="8">
        <v>2583</v>
      </c>
      <c r="D24" s="8">
        <v>2657</v>
      </c>
      <c r="E24" s="8">
        <v>2667</v>
      </c>
      <c r="F24" s="8">
        <v>2674</v>
      </c>
      <c r="G24" s="9">
        <v>2681</v>
      </c>
    </row>
    <row r="25" spans="1:7" ht="15.75" thickBot="1" x14ac:dyDescent="0.3">
      <c r="A25" s="10" t="s">
        <v>23</v>
      </c>
      <c r="B25" s="11">
        <v>4005</v>
      </c>
      <c r="C25" s="11">
        <v>4029</v>
      </c>
      <c r="D25" s="11">
        <v>4076</v>
      </c>
      <c r="E25" s="11">
        <v>4123</v>
      </c>
      <c r="F25" s="43">
        <v>4147</v>
      </c>
      <c r="G25" s="9">
        <v>4171</v>
      </c>
    </row>
    <row r="26" spans="1:7" ht="15.75" thickBot="1" x14ac:dyDescent="0.3">
      <c r="A26" s="19" t="s">
        <v>24</v>
      </c>
      <c r="B26" s="20">
        <f>SUM(B23:B25)</f>
        <v>12584</v>
      </c>
      <c r="C26" s="20">
        <f t="shared" ref="C26:G26" si="6">SUM(C23:C25)</f>
        <v>12608</v>
      </c>
      <c r="D26" s="20">
        <f t="shared" si="6"/>
        <v>12896</v>
      </c>
      <c r="E26" s="20">
        <f t="shared" si="6"/>
        <v>12977</v>
      </c>
      <c r="F26" s="20">
        <f t="shared" si="6"/>
        <v>13023</v>
      </c>
      <c r="G26" s="21">
        <f t="shared" si="6"/>
        <v>13069</v>
      </c>
    </row>
    <row r="27" spans="1:7" x14ac:dyDescent="0.25">
      <c r="A27" s="30" t="s">
        <v>25</v>
      </c>
      <c r="B27" s="25"/>
      <c r="C27" s="25">
        <f>C26-B26</f>
        <v>24</v>
      </c>
      <c r="D27" s="28">
        <f t="shared" ref="D27:G27" si="7">D26-C26</f>
        <v>288</v>
      </c>
      <c r="E27" s="28">
        <f t="shared" si="7"/>
        <v>81</v>
      </c>
      <c r="F27" s="43">
        <f t="shared" si="7"/>
        <v>46</v>
      </c>
      <c r="G27" s="3">
        <f t="shared" si="7"/>
        <v>46</v>
      </c>
    </row>
    <row r="28" spans="1:7" ht="14.45" customHeight="1" thickBot="1" x14ac:dyDescent="0.3">
      <c r="A28" s="10" t="s">
        <v>26</v>
      </c>
      <c r="B28" s="13"/>
      <c r="C28" s="22">
        <f>(((C26/B26)^0.33)-1)</f>
        <v>6.289689467169346E-4</v>
      </c>
      <c r="D28" s="22">
        <f>(((D26/C26)^0.1)-1)</f>
        <v>2.2611177446885122E-3</v>
      </c>
      <c r="E28" s="22">
        <f>(((E26/D26)^0.1)-1)</f>
        <v>6.2633346402241052E-4</v>
      </c>
      <c r="F28" s="22">
        <f>(((F26/E26)^0.2)-1)</f>
        <v>7.0794351990111082E-4</v>
      </c>
      <c r="G28" s="23">
        <f>(((G26/F26)^0.2)-1)</f>
        <v>7.0544643624281811E-4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84F-3044-4D1D-8CEB-B4B4742ADF69}">
  <sheetPr>
    <tabColor theme="6" tint="0.59999389629810485"/>
  </sheetPr>
  <dimension ref="A1:G28"/>
  <sheetViews>
    <sheetView workbookViewId="0">
      <selection activeCell="I8" sqref="I8:M22"/>
    </sheetView>
  </sheetViews>
  <sheetFormatPr defaultRowHeight="14.45" customHeight="1" x14ac:dyDescent="0.25"/>
  <cols>
    <col min="1" max="1" width="23.7109375" customWidth="1"/>
    <col min="2" max="2" width="7.5703125" bestFit="1" customWidth="1"/>
    <col min="3" max="3" width="8.28515625" bestFit="1" customWidth="1"/>
    <col min="4" max="4" width="7.42578125" bestFit="1" customWidth="1"/>
    <col min="5" max="6" width="8.28515625" bestFit="1" customWidth="1"/>
    <col min="7" max="7" width="7.85546875" bestFit="1" customWidth="1"/>
  </cols>
  <sheetData>
    <row r="1" spans="1:7" ht="14.45" customHeight="1" thickBot="1" x14ac:dyDescent="0.3">
      <c r="A1" s="4" t="s">
        <v>27</v>
      </c>
      <c r="B1" s="4">
        <v>2022</v>
      </c>
      <c r="C1" s="4">
        <v>2025</v>
      </c>
      <c r="D1" s="4">
        <v>2035</v>
      </c>
      <c r="E1" s="4">
        <v>2045</v>
      </c>
      <c r="F1" s="44">
        <v>2050</v>
      </c>
      <c r="G1" s="34">
        <v>2055</v>
      </c>
    </row>
    <row r="2" spans="1:7" ht="30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ht="14.45" customHeight="1" x14ac:dyDescent="0.25">
      <c r="A3" s="1" t="s">
        <v>1</v>
      </c>
      <c r="B3" s="8">
        <v>43791</v>
      </c>
      <c r="C3" s="8">
        <v>46857</v>
      </c>
      <c r="D3" s="8">
        <v>48269</v>
      </c>
      <c r="E3" s="8">
        <v>48960</v>
      </c>
      <c r="F3" s="8">
        <v>49496</v>
      </c>
      <c r="G3" s="9">
        <v>49988</v>
      </c>
    </row>
    <row r="4" spans="1:7" ht="14.45" customHeight="1" x14ac:dyDescent="0.25">
      <c r="A4" s="1" t="s">
        <v>2</v>
      </c>
      <c r="B4" s="8">
        <v>100720</v>
      </c>
      <c r="C4" s="8">
        <v>107771</v>
      </c>
      <c r="D4" s="8">
        <v>111021</v>
      </c>
      <c r="E4" s="8">
        <v>112613</v>
      </c>
      <c r="F4" s="8">
        <v>113812</v>
      </c>
      <c r="G4" s="9">
        <v>114974</v>
      </c>
    </row>
    <row r="5" spans="1:7" ht="14.45" customHeight="1" thickBot="1" x14ac:dyDescent="0.3">
      <c r="A5" s="10" t="s">
        <v>3</v>
      </c>
      <c r="B5" s="11">
        <v>2100</v>
      </c>
      <c r="C5" s="11">
        <v>3978</v>
      </c>
      <c r="D5" s="11">
        <v>6097</v>
      </c>
      <c r="E5" s="11">
        <v>8453</v>
      </c>
      <c r="F5" s="11">
        <v>9748</v>
      </c>
      <c r="G5" s="12">
        <v>11032</v>
      </c>
    </row>
    <row r="6" spans="1:7" ht="14.45" customHeight="1" x14ac:dyDescent="0.25">
      <c r="A6" s="1" t="s">
        <v>4</v>
      </c>
      <c r="B6" s="28">
        <f>B4+B5</f>
        <v>102820</v>
      </c>
      <c r="C6" s="28">
        <f t="shared" ref="C6:G6" si="0">C4+C5</f>
        <v>111749</v>
      </c>
      <c r="D6" s="28">
        <f t="shared" si="0"/>
        <v>117118</v>
      </c>
      <c r="E6" s="28">
        <f t="shared" si="0"/>
        <v>121066</v>
      </c>
      <c r="F6" s="43">
        <f t="shared" si="0"/>
        <v>123560</v>
      </c>
      <c r="G6" s="9">
        <f t="shared" si="0"/>
        <v>126006</v>
      </c>
    </row>
    <row r="7" spans="1:7" ht="14.45" customHeight="1" thickBot="1" x14ac:dyDescent="0.3">
      <c r="A7" s="10" t="s">
        <v>5</v>
      </c>
      <c r="B7" s="39">
        <f>B4/B3</f>
        <v>2.300015985019753</v>
      </c>
      <c r="C7" s="39">
        <f t="shared" ref="C7:G7" si="1">C4/C3</f>
        <v>2.299997865847152</v>
      </c>
      <c r="D7" s="39">
        <f t="shared" si="1"/>
        <v>2.3000476496301974</v>
      </c>
      <c r="E7" s="39">
        <f t="shared" si="1"/>
        <v>2.3001021241830064</v>
      </c>
      <c r="F7" s="39">
        <f t="shared" si="1"/>
        <v>2.2994181347987714</v>
      </c>
      <c r="G7" s="40">
        <f t="shared" si="1"/>
        <v>2.3000320076818435</v>
      </c>
    </row>
    <row r="8" spans="1:7" ht="14.45" customHeight="1" x14ac:dyDescent="0.25">
      <c r="A8" s="1" t="s">
        <v>6</v>
      </c>
      <c r="B8" s="25"/>
      <c r="C8" s="28">
        <f>C6-B6</f>
        <v>8929</v>
      </c>
      <c r="D8" s="28">
        <f t="shared" ref="D8:G8" si="2">D6-C6</f>
        <v>5369</v>
      </c>
      <c r="E8" s="28">
        <f t="shared" si="2"/>
        <v>3948</v>
      </c>
      <c r="F8" s="43">
        <f t="shared" si="2"/>
        <v>2494</v>
      </c>
      <c r="G8" s="3">
        <f t="shared" si="2"/>
        <v>2446</v>
      </c>
    </row>
    <row r="9" spans="1:7" ht="14.45" customHeight="1" thickBot="1" x14ac:dyDescent="0.3">
      <c r="A9" s="15" t="s">
        <v>7</v>
      </c>
      <c r="B9" s="16"/>
      <c r="C9" s="17">
        <f>(((C6/B6)^0.33)-1)</f>
        <v>2.786196367110616E-2</v>
      </c>
      <c r="D9" s="17">
        <f>(((D6/C6)^0.1)-1)</f>
        <v>4.7036966794216095E-3</v>
      </c>
      <c r="E9" s="17">
        <f t="shared" ref="E9" si="3">(((E6/D6)^0.1)-1)</f>
        <v>3.3208897639522839E-3</v>
      </c>
      <c r="F9" s="17">
        <f>(((F6/E6)^0.2)-1)</f>
        <v>4.0865305101995819E-3</v>
      </c>
      <c r="G9" s="18">
        <f>(((G6/F6)^0.2)-1)</f>
        <v>3.9282266993931891E-3</v>
      </c>
    </row>
    <row r="10" spans="1:7" ht="14.45" customHeight="1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ht="14.45" customHeight="1" x14ac:dyDescent="0.25">
      <c r="A11" s="1" t="s">
        <v>9</v>
      </c>
      <c r="B11" s="8">
        <v>11370</v>
      </c>
      <c r="C11" s="8">
        <v>12046</v>
      </c>
      <c r="D11" s="8">
        <v>12893</v>
      </c>
      <c r="E11" s="8">
        <v>13651</v>
      </c>
      <c r="F11" s="8">
        <v>14101</v>
      </c>
      <c r="G11" s="9">
        <v>14530</v>
      </c>
    </row>
    <row r="12" spans="1:7" ht="14.45" customHeight="1" x14ac:dyDescent="0.25">
      <c r="A12" s="1" t="s">
        <v>10</v>
      </c>
      <c r="B12" s="8">
        <v>3080</v>
      </c>
      <c r="C12" s="8">
        <v>3467</v>
      </c>
      <c r="D12" s="8">
        <v>3710</v>
      </c>
      <c r="E12" s="8">
        <v>3929</v>
      </c>
      <c r="F12" s="8">
        <v>4058</v>
      </c>
      <c r="G12" s="9">
        <v>4183</v>
      </c>
    </row>
    <row r="13" spans="1:7" ht="14.45" customHeight="1" x14ac:dyDescent="0.25">
      <c r="A13" s="1" t="s">
        <v>11</v>
      </c>
      <c r="B13" s="8">
        <v>4511</v>
      </c>
      <c r="C13" s="8">
        <v>4977</v>
      </c>
      <c r="D13" s="8">
        <v>5327</v>
      </c>
      <c r="E13" s="8">
        <v>5641</v>
      </c>
      <c r="F13" s="8">
        <v>5828</v>
      </c>
      <c r="G13" s="9">
        <v>6004</v>
      </c>
    </row>
    <row r="14" spans="1:7" ht="14.45" customHeight="1" x14ac:dyDescent="0.25">
      <c r="A14" s="1" t="s">
        <v>12</v>
      </c>
      <c r="B14" s="8">
        <v>5268</v>
      </c>
      <c r="C14" s="8">
        <v>5814</v>
      </c>
      <c r="D14" s="8">
        <v>6222</v>
      </c>
      <c r="E14" s="8">
        <v>6587</v>
      </c>
      <c r="F14" s="8">
        <v>6802</v>
      </c>
      <c r="G14" s="9">
        <v>7011</v>
      </c>
    </row>
    <row r="15" spans="1:7" ht="14.45" customHeight="1" x14ac:dyDescent="0.25">
      <c r="A15" s="1" t="s">
        <v>13</v>
      </c>
      <c r="B15" s="8">
        <v>7759</v>
      </c>
      <c r="C15" s="8">
        <v>8736</v>
      </c>
      <c r="D15" s="8">
        <v>9349</v>
      </c>
      <c r="E15" s="8">
        <v>9900</v>
      </c>
      <c r="F15" s="8">
        <v>10226</v>
      </c>
      <c r="G15" s="9">
        <v>10537</v>
      </c>
    </row>
    <row r="16" spans="1:7" ht="14.45" customHeight="1" x14ac:dyDescent="0.25">
      <c r="A16" s="1" t="s">
        <v>14</v>
      </c>
      <c r="B16" s="8">
        <v>5914</v>
      </c>
      <c r="C16" s="8">
        <v>6631</v>
      </c>
      <c r="D16" s="8">
        <v>7096</v>
      </c>
      <c r="E16" s="8">
        <v>7514</v>
      </c>
      <c r="F16" s="8">
        <v>7761</v>
      </c>
      <c r="G16" s="9">
        <v>7997</v>
      </c>
    </row>
    <row r="17" spans="1:7" ht="14.45" customHeight="1" x14ac:dyDescent="0.25">
      <c r="A17" s="1" t="s">
        <v>15</v>
      </c>
      <c r="B17" s="8">
        <v>4408</v>
      </c>
      <c r="C17" s="8">
        <v>4881</v>
      </c>
      <c r="D17" s="8">
        <v>5223</v>
      </c>
      <c r="E17" s="8">
        <v>5531</v>
      </c>
      <c r="F17" s="8">
        <v>5713</v>
      </c>
      <c r="G17" s="9">
        <v>5887</v>
      </c>
    </row>
    <row r="18" spans="1:7" ht="14.45" customHeight="1" thickBot="1" x14ac:dyDescent="0.3">
      <c r="A18" s="1" t="s">
        <v>16</v>
      </c>
      <c r="B18" s="11">
        <v>5463</v>
      </c>
      <c r="C18" s="11">
        <v>5956</v>
      </c>
      <c r="D18" s="11">
        <v>6374</v>
      </c>
      <c r="E18" s="11">
        <v>6748</v>
      </c>
      <c r="F18" s="43">
        <v>6976</v>
      </c>
      <c r="G18" s="9">
        <v>7184</v>
      </c>
    </row>
    <row r="19" spans="1:7" ht="14.45" customHeight="1" thickBot="1" x14ac:dyDescent="0.3">
      <c r="A19" s="19" t="s">
        <v>17</v>
      </c>
      <c r="B19" s="20">
        <f>SUM(B11:B18)</f>
        <v>47773</v>
      </c>
      <c r="C19" s="20">
        <f t="shared" ref="C19:G19" si="4">SUM(C11:C18)</f>
        <v>52508</v>
      </c>
      <c r="D19" s="20">
        <f t="shared" si="4"/>
        <v>56194</v>
      </c>
      <c r="E19" s="20">
        <f t="shared" si="4"/>
        <v>59501</v>
      </c>
      <c r="F19" s="20">
        <f t="shared" si="4"/>
        <v>61465</v>
      </c>
      <c r="G19" s="21">
        <f t="shared" si="4"/>
        <v>63333</v>
      </c>
    </row>
    <row r="20" spans="1:7" ht="14.45" customHeight="1" x14ac:dyDescent="0.25">
      <c r="A20" s="1" t="s">
        <v>18</v>
      </c>
      <c r="B20" s="25"/>
      <c r="C20" s="28">
        <f>C19-B19</f>
        <v>4735</v>
      </c>
      <c r="D20" s="28">
        <f t="shared" ref="D20:G20" si="5">D19-C19</f>
        <v>3686</v>
      </c>
      <c r="E20" s="28">
        <f t="shared" si="5"/>
        <v>3307</v>
      </c>
      <c r="F20" s="43">
        <f t="shared" si="5"/>
        <v>1964</v>
      </c>
      <c r="G20" s="9">
        <f t="shared" si="5"/>
        <v>1868</v>
      </c>
    </row>
    <row r="21" spans="1:7" ht="14.45" customHeight="1" thickBot="1" x14ac:dyDescent="0.3">
      <c r="A21" s="15" t="s">
        <v>19</v>
      </c>
      <c r="B21" s="16"/>
      <c r="C21" s="17">
        <f>(((C19/B19)^0.33)-1)</f>
        <v>3.1678018865475277E-2</v>
      </c>
      <c r="D21" s="17">
        <f>(((D19/C19)^0.1)-1)</f>
        <v>6.8075115516939011E-3</v>
      </c>
      <c r="E21" s="17">
        <f>(((E19/D19)^0.1)-1)</f>
        <v>5.734693709914751E-3</v>
      </c>
      <c r="F21" s="17">
        <f>(((F19/E19)^0.2)-1)</f>
        <v>6.516095572986158E-3</v>
      </c>
      <c r="G21" s="18">
        <f>(((G19/F19)^0.2)-1)</f>
        <v>6.0056848845566613E-3</v>
      </c>
    </row>
    <row r="22" spans="1:7" ht="14.45" customHeight="1" thickTop="1" x14ac:dyDescent="0.25">
      <c r="A22" s="7" t="s">
        <v>20</v>
      </c>
      <c r="B22" s="29"/>
      <c r="C22" s="29"/>
      <c r="D22" s="29"/>
      <c r="E22" s="29"/>
      <c r="F22" s="42"/>
      <c r="G22" s="3"/>
    </row>
    <row r="23" spans="1:7" ht="14.45" customHeight="1" x14ac:dyDescent="0.25">
      <c r="A23" s="1" t="s">
        <v>21</v>
      </c>
      <c r="B23" s="8">
        <v>10157</v>
      </c>
      <c r="C23" s="8">
        <v>10854</v>
      </c>
      <c r="D23" s="8">
        <v>11036</v>
      </c>
      <c r="E23" s="8">
        <v>11099</v>
      </c>
      <c r="F23" s="8">
        <v>11132</v>
      </c>
      <c r="G23" s="9">
        <v>11162</v>
      </c>
    </row>
    <row r="24" spans="1:7" ht="14.45" customHeight="1" x14ac:dyDescent="0.25">
      <c r="A24" s="1" t="s">
        <v>22</v>
      </c>
      <c r="B24" s="8">
        <v>4669</v>
      </c>
      <c r="C24" s="8">
        <v>4990</v>
      </c>
      <c r="D24" s="8">
        <v>5073</v>
      </c>
      <c r="E24" s="8">
        <v>5103</v>
      </c>
      <c r="F24" s="8">
        <v>5118</v>
      </c>
      <c r="G24" s="9">
        <v>5132</v>
      </c>
    </row>
    <row r="25" spans="1:7" ht="14.45" customHeight="1" thickBot="1" x14ac:dyDescent="0.3">
      <c r="A25" s="1" t="s">
        <v>23</v>
      </c>
      <c r="B25" s="11">
        <v>5769</v>
      </c>
      <c r="C25" s="11">
        <v>5958</v>
      </c>
      <c r="D25" s="11">
        <v>6447</v>
      </c>
      <c r="E25" s="11">
        <v>7504</v>
      </c>
      <c r="F25" s="43">
        <v>8119</v>
      </c>
      <c r="G25" s="9">
        <v>8734</v>
      </c>
    </row>
    <row r="26" spans="1:7" ht="14.45" customHeight="1" thickBot="1" x14ac:dyDescent="0.3">
      <c r="A26" s="19" t="s">
        <v>24</v>
      </c>
      <c r="B26" s="20">
        <f>SUM(B23:B25)</f>
        <v>20595</v>
      </c>
      <c r="C26" s="20">
        <f t="shared" ref="C26:G26" si="6">SUM(C23:C25)</f>
        <v>21802</v>
      </c>
      <c r="D26" s="20">
        <f t="shared" si="6"/>
        <v>22556</v>
      </c>
      <c r="E26" s="20">
        <f t="shared" si="6"/>
        <v>23706</v>
      </c>
      <c r="F26" s="20">
        <f t="shared" si="6"/>
        <v>24369</v>
      </c>
      <c r="G26" s="21">
        <f t="shared" si="6"/>
        <v>25028</v>
      </c>
    </row>
    <row r="27" spans="1:7" ht="14.45" customHeight="1" x14ac:dyDescent="0.25">
      <c r="A27" s="1" t="s">
        <v>25</v>
      </c>
      <c r="B27" s="25"/>
      <c r="C27" s="25">
        <f>C26-B26</f>
        <v>1207</v>
      </c>
      <c r="D27" s="28">
        <f t="shared" ref="D27:G27" si="7">D26-C26</f>
        <v>754</v>
      </c>
      <c r="E27" s="28">
        <f t="shared" si="7"/>
        <v>1150</v>
      </c>
      <c r="F27" s="43">
        <f t="shared" si="7"/>
        <v>663</v>
      </c>
      <c r="G27" s="3">
        <f t="shared" si="7"/>
        <v>659</v>
      </c>
    </row>
    <row r="28" spans="1:7" ht="14.45" customHeight="1" thickBot="1" x14ac:dyDescent="0.3">
      <c r="A28" s="10" t="s">
        <v>26</v>
      </c>
      <c r="B28" s="13"/>
      <c r="C28" s="22">
        <f>(((C26/B26)^0.33)-1)</f>
        <v>1.8972346171795662E-2</v>
      </c>
      <c r="D28" s="22">
        <f>(((D26/C26)^0.1)-1)</f>
        <v>3.4057260748296958E-3</v>
      </c>
      <c r="E28" s="22">
        <f>(((E26/D26)^0.1)-1)</f>
        <v>4.9850919005731686E-3</v>
      </c>
      <c r="F28" s="22">
        <f>(((F26/E26)^0.2)-1)</f>
        <v>5.5319755947855764E-3</v>
      </c>
      <c r="G28" s="23">
        <f>(((G26/F26)^0.2)-1)</f>
        <v>5.3509384849301789E-3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96652-6F37-47F5-8DC1-B2D53A943A28}">
  <sheetPr>
    <tabColor theme="6" tint="0.59999389629810485"/>
  </sheetPr>
  <dimension ref="A1:G28"/>
  <sheetViews>
    <sheetView workbookViewId="0">
      <selection activeCell="I11" sqref="I11:M26"/>
    </sheetView>
  </sheetViews>
  <sheetFormatPr defaultRowHeight="13.9" customHeight="1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3.9" customHeight="1" thickBot="1" x14ac:dyDescent="0.3">
      <c r="A1" s="4" t="s">
        <v>27</v>
      </c>
      <c r="B1" s="4">
        <v>2022</v>
      </c>
      <c r="C1" s="4">
        <v>2025</v>
      </c>
      <c r="D1" s="4">
        <v>2035</v>
      </c>
      <c r="E1" s="4">
        <v>2045</v>
      </c>
      <c r="F1" s="44">
        <v>2050</v>
      </c>
      <c r="G1" s="34">
        <v>2055</v>
      </c>
    </row>
    <row r="2" spans="1:7" ht="30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ht="13.9" customHeight="1" x14ac:dyDescent="0.25">
      <c r="A3" s="1" t="s">
        <v>1</v>
      </c>
      <c r="B3" s="8">
        <v>101701</v>
      </c>
      <c r="C3" s="8">
        <v>109354</v>
      </c>
      <c r="D3" s="8">
        <v>118838</v>
      </c>
      <c r="E3" s="8">
        <v>126611</v>
      </c>
      <c r="F3" s="8">
        <v>130641</v>
      </c>
      <c r="G3" s="9">
        <v>134597</v>
      </c>
    </row>
    <row r="4" spans="1:7" ht="13.9" customHeight="1" x14ac:dyDescent="0.25">
      <c r="A4" s="1" t="s">
        <v>2</v>
      </c>
      <c r="B4" s="8">
        <v>233913</v>
      </c>
      <c r="C4" s="8">
        <v>251192</v>
      </c>
      <c r="D4" s="8">
        <v>272887</v>
      </c>
      <c r="E4" s="8">
        <v>290050</v>
      </c>
      <c r="F4" s="8">
        <v>299022</v>
      </c>
      <c r="G4" s="9">
        <v>307927</v>
      </c>
    </row>
    <row r="5" spans="1:7" ht="13.9" customHeight="1" thickBot="1" x14ac:dyDescent="0.3">
      <c r="A5" s="10" t="s">
        <v>3</v>
      </c>
      <c r="B5" s="11">
        <v>3460</v>
      </c>
      <c r="C5" s="11">
        <v>5339</v>
      </c>
      <c r="D5" s="11">
        <v>7461</v>
      </c>
      <c r="E5" s="11">
        <v>9818</v>
      </c>
      <c r="F5" s="11">
        <v>11116</v>
      </c>
      <c r="G5" s="12">
        <v>12398</v>
      </c>
    </row>
    <row r="6" spans="1:7" ht="13.9" customHeight="1" x14ac:dyDescent="0.25">
      <c r="A6" s="1" t="s">
        <v>4</v>
      </c>
      <c r="B6" s="28">
        <f>B4+B5</f>
        <v>237373</v>
      </c>
      <c r="C6" s="28">
        <f t="shared" ref="C6:G6" si="0">C4+C5</f>
        <v>256531</v>
      </c>
      <c r="D6" s="28">
        <f t="shared" si="0"/>
        <v>280348</v>
      </c>
      <c r="E6" s="28">
        <f t="shared" si="0"/>
        <v>299868</v>
      </c>
      <c r="F6" s="43">
        <f t="shared" si="0"/>
        <v>310138</v>
      </c>
      <c r="G6" s="9">
        <f t="shared" si="0"/>
        <v>320325</v>
      </c>
    </row>
    <row r="7" spans="1:7" ht="13.9" customHeight="1" thickBot="1" x14ac:dyDescent="0.3">
      <c r="A7" s="10" t="s">
        <v>5</v>
      </c>
      <c r="B7" s="13">
        <f>B4/B3</f>
        <v>2.300006882921505</v>
      </c>
      <c r="C7" s="13">
        <f t="shared" ref="C7:G7" si="1">C4/C3</f>
        <v>2.2970536057208699</v>
      </c>
      <c r="D7" s="13">
        <f t="shared" si="1"/>
        <v>2.2962941146771234</v>
      </c>
      <c r="E7" s="13">
        <f t="shared" si="1"/>
        <v>2.2908752004170254</v>
      </c>
      <c r="F7" s="13">
        <f t="shared" si="1"/>
        <v>2.2888832755413691</v>
      </c>
      <c r="G7" s="14">
        <f t="shared" si="1"/>
        <v>2.2877701583244798</v>
      </c>
    </row>
    <row r="8" spans="1:7" ht="13.9" customHeight="1" x14ac:dyDescent="0.25">
      <c r="A8" s="1" t="s">
        <v>6</v>
      </c>
      <c r="B8" s="25"/>
      <c r="C8" s="28">
        <f>C6-B6</f>
        <v>19158</v>
      </c>
      <c r="D8" s="28">
        <f t="shared" ref="D8:G8" si="2">D6-C6</f>
        <v>23817</v>
      </c>
      <c r="E8" s="28">
        <f t="shared" si="2"/>
        <v>19520</v>
      </c>
      <c r="F8" s="43">
        <f t="shared" si="2"/>
        <v>10270</v>
      </c>
      <c r="G8" s="3">
        <f t="shared" si="2"/>
        <v>10187</v>
      </c>
    </row>
    <row r="9" spans="1:7" ht="13.9" customHeight="1" thickBot="1" x14ac:dyDescent="0.3">
      <c r="A9" s="15" t="s">
        <v>7</v>
      </c>
      <c r="B9" s="16"/>
      <c r="C9" s="17">
        <f>(((C6/B6)^0.33)-1)</f>
        <v>2.5944379803577222E-2</v>
      </c>
      <c r="D9" s="17">
        <f>(((D6/C6)^0.1)-1)</f>
        <v>8.9177456249798226E-3</v>
      </c>
      <c r="E9" s="17">
        <f t="shared" ref="E9" si="3">(((E6/D6)^0.1)-1)</f>
        <v>6.7537734801403904E-3</v>
      </c>
      <c r="F9" s="17">
        <f>(((F6/E6)^0.2)-1)</f>
        <v>6.7577274680838961E-3</v>
      </c>
      <c r="G9" s="18">
        <f>(((G6/F6)^0.2)-1)</f>
        <v>6.4846842447743303E-3</v>
      </c>
    </row>
    <row r="10" spans="1:7" ht="13.9" customHeight="1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ht="13.9" customHeight="1" x14ac:dyDescent="0.25">
      <c r="A11" s="1" t="s">
        <v>9</v>
      </c>
      <c r="B11" s="8">
        <v>23044</v>
      </c>
      <c r="C11" s="8">
        <v>24919</v>
      </c>
      <c r="D11" s="8">
        <v>26966</v>
      </c>
      <c r="E11" s="8">
        <v>28721</v>
      </c>
      <c r="F11" s="8">
        <v>29666</v>
      </c>
      <c r="G11" s="9">
        <v>30583</v>
      </c>
    </row>
    <row r="12" spans="1:7" ht="13.9" customHeight="1" x14ac:dyDescent="0.25">
      <c r="A12" s="1" t="s">
        <v>10</v>
      </c>
      <c r="B12" s="8">
        <v>7315</v>
      </c>
      <c r="C12" s="8">
        <v>8047</v>
      </c>
      <c r="D12" s="8">
        <v>8709</v>
      </c>
      <c r="E12" s="8">
        <v>9276</v>
      </c>
      <c r="F12" s="8">
        <v>9583</v>
      </c>
      <c r="G12" s="9">
        <v>9877</v>
      </c>
    </row>
    <row r="13" spans="1:7" ht="13.9" customHeight="1" x14ac:dyDescent="0.25">
      <c r="A13" s="1" t="s">
        <v>11</v>
      </c>
      <c r="B13" s="8">
        <v>13582</v>
      </c>
      <c r="C13" s="8">
        <v>14713</v>
      </c>
      <c r="D13" s="8">
        <v>15921</v>
      </c>
      <c r="E13" s="8">
        <v>16958</v>
      </c>
      <c r="F13" s="8">
        <v>17519</v>
      </c>
      <c r="G13" s="9">
        <v>18058</v>
      </c>
    </row>
    <row r="14" spans="1:7" ht="13.9" customHeight="1" x14ac:dyDescent="0.25">
      <c r="A14" s="1" t="s">
        <v>12</v>
      </c>
      <c r="B14" s="8">
        <v>12113</v>
      </c>
      <c r="C14" s="8">
        <v>13455</v>
      </c>
      <c r="D14" s="8">
        <v>14560</v>
      </c>
      <c r="E14" s="8">
        <v>15508</v>
      </c>
      <c r="F14" s="8">
        <v>16022</v>
      </c>
      <c r="G14" s="9">
        <v>16515</v>
      </c>
    </row>
    <row r="15" spans="1:7" ht="13.9" customHeight="1" x14ac:dyDescent="0.25">
      <c r="A15" s="1" t="s">
        <v>13</v>
      </c>
      <c r="B15" s="8">
        <v>18915</v>
      </c>
      <c r="C15" s="8">
        <v>19555</v>
      </c>
      <c r="D15" s="8">
        <v>21106</v>
      </c>
      <c r="E15" s="8">
        <v>22436</v>
      </c>
      <c r="F15" s="8">
        <v>23151</v>
      </c>
      <c r="G15" s="9">
        <v>23846</v>
      </c>
    </row>
    <row r="16" spans="1:7" ht="13.9" customHeight="1" x14ac:dyDescent="0.25">
      <c r="A16" s="1" t="s">
        <v>14</v>
      </c>
      <c r="B16" s="8">
        <v>13173</v>
      </c>
      <c r="C16" s="8">
        <v>13868</v>
      </c>
      <c r="D16" s="8">
        <v>15073</v>
      </c>
      <c r="E16" s="8">
        <v>16106</v>
      </c>
      <c r="F16" s="8">
        <v>16664</v>
      </c>
      <c r="G16" s="9">
        <v>17200</v>
      </c>
    </row>
    <row r="17" spans="1:7" ht="13.9" customHeight="1" x14ac:dyDescent="0.25">
      <c r="A17" s="1" t="s">
        <v>15</v>
      </c>
      <c r="B17" s="8">
        <v>8903</v>
      </c>
      <c r="C17" s="8">
        <v>10233</v>
      </c>
      <c r="D17" s="8">
        <v>11074</v>
      </c>
      <c r="E17" s="8">
        <v>11794</v>
      </c>
      <c r="F17" s="8">
        <v>12184</v>
      </c>
      <c r="G17" s="9">
        <v>12559</v>
      </c>
    </row>
    <row r="18" spans="1:7" ht="13.9" customHeight="1" thickBot="1" x14ac:dyDescent="0.3">
      <c r="A18" s="1" t="s">
        <v>16</v>
      </c>
      <c r="B18" s="11">
        <v>7530</v>
      </c>
      <c r="C18" s="11">
        <v>8435</v>
      </c>
      <c r="D18" s="11">
        <v>9127</v>
      </c>
      <c r="E18" s="11">
        <v>9722</v>
      </c>
      <c r="F18" s="43">
        <v>10043</v>
      </c>
      <c r="G18" s="9">
        <v>10352</v>
      </c>
    </row>
    <row r="19" spans="1:7" ht="13.9" customHeight="1" thickBot="1" x14ac:dyDescent="0.3">
      <c r="A19" s="19" t="s">
        <v>17</v>
      </c>
      <c r="B19" s="20">
        <f>SUM(B11:B18)</f>
        <v>104575</v>
      </c>
      <c r="C19" s="20">
        <f t="shared" ref="C19:G19" si="4">SUM(C11:C18)</f>
        <v>113225</v>
      </c>
      <c r="D19" s="20">
        <f t="shared" si="4"/>
        <v>122536</v>
      </c>
      <c r="E19" s="20">
        <f t="shared" si="4"/>
        <v>130521</v>
      </c>
      <c r="F19" s="20">
        <f t="shared" si="4"/>
        <v>134832</v>
      </c>
      <c r="G19" s="21">
        <f t="shared" si="4"/>
        <v>138990</v>
      </c>
    </row>
    <row r="20" spans="1:7" ht="13.9" customHeight="1" x14ac:dyDescent="0.25">
      <c r="A20" s="1" t="s">
        <v>18</v>
      </c>
      <c r="B20" s="25"/>
      <c r="C20" s="28">
        <f>C19-B19</f>
        <v>8650</v>
      </c>
      <c r="D20" s="28">
        <f t="shared" ref="D20:G20" si="5">D19-C19</f>
        <v>9311</v>
      </c>
      <c r="E20" s="28">
        <f t="shared" si="5"/>
        <v>7985</v>
      </c>
      <c r="F20" s="43">
        <f t="shared" si="5"/>
        <v>4311</v>
      </c>
      <c r="G20" s="9">
        <f t="shared" si="5"/>
        <v>4158</v>
      </c>
    </row>
    <row r="21" spans="1:7" ht="13.9" customHeight="1" thickBot="1" x14ac:dyDescent="0.3">
      <c r="A21" s="15" t="s">
        <v>19</v>
      </c>
      <c r="B21" s="16"/>
      <c r="C21" s="17">
        <f>(((C19/B19)^0.33)-1)</f>
        <v>2.657284130059212E-2</v>
      </c>
      <c r="D21" s="17">
        <f>(((D19/C19)^0.1)-1)</f>
        <v>7.9340969400287786E-3</v>
      </c>
      <c r="E21" s="17">
        <f>(((E19/D19)^0.1)-1)</f>
        <v>6.3328954202979126E-3</v>
      </c>
      <c r="F21" s="17">
        <f>(((F19/E19)^0.2)-1)</f>
        <v>6.5202500143715092E-3</v>
      </c>
      <c r="G21" s="18">
        <f>(((G19/F19)^0.2)-1)</f>
        <v>6.092972916540873E-3</v>
      </c>
    </row>
    <row r="22" spans="1:7" ht="13.9" customHeight="1" thickTop="1" x14ac:dyDescent="0.25">
      <c r="A22" s="1" t="s">
        <v>20</v>
      </c>
      <c r="B22" s="29"/>
      <c r="C22" s="29"/>
      <c r="D22" s="29"/>
      <c r="E22" s="29"/>
      <c r="F22" s="42"/>
      <c r="G22" s="3"/>
    </row>
    <row r="23" spans="1:7" ht="13.9" customHeight="1" x14ac:dyDescent="0.25">
      <c r="A23" s="1" t="s">
        <v>21</v>
      </c>
      <c r="B23" s="8">
        <v>23011</v>
      </c>
      <c r="C23" s="8">
        <v>24731</v>
      </c>
      <c r="D23" s="8">
        <v>26555</v>
      </c>
      <c r="E23" s="8">
        <v>27855</v>
      </c>
      <c r="F23" s="8">
        <v>28509</v>
      </c>
      <c r="G23" s="9">
        <v>29148</v>
      </c>
    </row>
    <row r="24" spans="1:7" ht="13.9" customHeight="1" x14ac:dyDescent="0.25">
      <c r="A24" s="1" t="s">
        <v>22</v>
      </c>
      <c r="B24" s="8">
        <v>12965</v>
      </c>
      <c r="C24" s="8">
        <v>13978</v>
      </c>
      <c r="D24" s="8">
        <v>15054</v>
      </c>
      <c r="E24" s="8">
        <v>15820</v>
      </c>
      <c r="F24" s="8">
        <v>16203</v>
      </c>
      <c r="G24" s="9">
        <v>16582</v>
      </c>
    </row>
    <row r="25" spans="1:7" ht="13.9" customHeight="1" thickBot="1" x14ac:dyDescent="0.3">
      <c r="A25" s="10" t="s">
        <v>23</v>
      </c>
      <c r="B25" s="11">
        <v>6991</v>
      </c>
      <c r="C25" s="11">
        <v>7241</v>
      </c>
      <c r="D25" s="11">
        <v>7884</v>
      </c>
      <c r="E25" s="11">
        <v>9288</v>
      </c>
      <c r="F25" s="43">
        <v>10116</v>
      </c>
      <c r="G25" s="9">
        <v>10942</v>
      </c>
    </row>
    <row r="26" spans="1:7" ht="13.9" customHeight="1" thickBot="1" x14ac:dyDescent="0.3">
      <c r="A26" s="19" t="s">
        <v>24</v>
      </c>
      <c r="B26" s="20">
        <f>SUM(B23:B25)</f>
        <v>42967</v>
      </c>
      <c r="C26" s="20">
        <f t="shared" ref="C26:G26" si="6">SUM(C23:C25)</f>
        <v>45950</v>
      </c>
      <c r="D26" s="20">
        <f t="shared" si="6"/>
        <v>49493</v>
      </c>
      <c r="E26" s="20">
        <f t="shared" si="6"/>
        <v>52963</v>
      </c>
      <c r="F26" s="20">
        <f t="shared" si="6"/>
        <v>54828</v>
      </c>
      <c r="G26" s="21">
        <f t="shared" si="6"/>
        <v>56672</v>
      </c>
    </row>
    <row r="27" spans="1:7" ht="13.9" customHeight="1" x14ac:dyDescent="0.25">
      <c r="A27" s="1" t="s">
        <v>25</v>
      </c>
      <c r="B27" s="25"/>
      <c r="C27" s="25">
        <f>C26-B26</f>
        <v>2983</v>
      </c>
      <c r="D27" s="28">
        <f t="shared" ref="D27:G27" si="7">D26-C26</f>
        <v>3543</v>
      </c>
      <c r="E27" s="28">
        <f t="shared" si="7"/>
        <v>3470</v>
      </c>
      <c r="F27" s="43">
        <f t="shared" si="7"/>
        <v>1865</v>
      </c>
      <c r="G27" s="3">
        <f t="shared" si="7"/>
        <v>1844</v>
      </c>
    </row>
    <row r="28" spans="1:7" ht="13.9" customHeight="1" thickBot="1" x14ac:dyDescent="0.3">
      <c r="A28" s="10" t="s">
        <v>26</v>
      </c>
      <c r="B28" s="13"/>
      <c r="C28" s="22">
        <f>(((C26/B26)^0.33)-1)</f>
        <v>2.23972194109332E-2</v>
      </c>
      <c r="D28" s="22">
        <f>(((D26/C26)^0.1)-1)</f>
        <v>7.4553937481256494E-3</v>
      </c>
      <c r="E28" s="22">
        <f>(((E26/D26)^0.1)-1)</f>
        <v>6.7992417114008941E-3</v>
      </c>
      <c r="F28" s="22">
        <f>(((F26/E26)^0.2)-1)</f>
        <v>6.9455000442297798E-3</v>
      </c>
      <c r="G28" s="23">
        <f>(((G26/F26)^0.2)-1)</f>
        <v>6.6377829228203566E-3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755B5-1F0C-480C-B02B-F4C8CC0AFDB9}">
  <sheetPr>
    <tabColor theme="6" tint="0.59999389629810485"/>
  </sheetPr>
  <dimension ref="A1:G28"/>
  <sheetViews>
    <sheetView workbookViewId="0">
      <selection activeCell="I10" sqref="I10:M20"/>
    </sheetView>
  </sheetViews>
  <sheetFormatPr defaultRowHeight="15" x14ac:dyDescent="0.25"/>
  <cols>
    <col min="1" max="1" width="23.7109375" customWidth="1"/>
  </cols>
  <sheetData>
    <row r="1" spans="1:7" ht="15.75" thickBot="1" x14ac:dyDescent="0.3">
      <c r="A1" s="4" t="s">
        <v>27</v>
      </c>
      <c r="B1" s="4">
        <v>2022</v>
      </c>
      <c r="C1" s="4">
        <v>2025</v>
      </c>
      <c r="D1" s="4">
        <v>2035</v>
      </c>
      <c r="E1" s="4">
        <v>2045</v>
      </c>
      <c r="F1" s="44">
        <v>2050</v>
      </c>
      <c r="G1" s="34">
        <v>2055</v>
      </c>
    </row>
    <row r="2" spans="1:7" ht="30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x14ac:dyDescent="0.25">
      <c r="A3" s="1" t="s">
        <v>1</v>
      </c>
      <c r="B3" s="8">
        <v>38029</v>
      </c>
      <c r="C3" s="8">
        <v>39759</v>
      </c>
      <c r="D3" s="8">
        <v>43587</v>
      </c>
      <c r="E3" s="8">
        <v>47598</v>
      </c>
      <c r="F3" s="8">
        <v>49796</v>
      </c>
      <c r="G3" s="9">
        <v>51977</v>
      </c>
    </row>
    <row r="4" spans="1:7" x14ac:dyDescent="0.25">
      <c r="A4" s="1" t="s">
        <v>2</v>
      </c>
      <c r="B4" s="8">
        <v>91442</v>
      </c>
      <c r="C4" s="8">
        <v>95603</v>
      </c>
      <c r="D4" s="8">
        <v>104808</v>
      </c>
      <c r="E4" s="8">
        <v>114454</v>
      </c>
      <c r="F4" s="8">
        <v>119727</v>
      </c>
      <c r="G4" s="9">
        <v>124986</v>
      </c>
    </row>
    <row r="5" spans="1:7" ht="15.75" thickBot="1" x14ac:dyDescent="0.3">
      <c r="A5" s="10" t="s">
        <v>3</v>
      </c>
      <c r="B5" s="11">
        <v>800</v>
      </c>
      <c r="C5" s="11">
        <v>2677</v>
      </c>
      <c r="D5" s="11">
        <v>4798</v>
      </c>
      <c r="E5" s="11">
        <v>7155</v>
      </c>
      <c r="F5" s="11">
        <v>8448</v>
      </c>
      <c r="G5" s="12">
        <v>9735</v>
      </c>
    </row>
    <row r="6" spans="1:7" x14ac:dyDescent="0.25">
      <c r="A6" s="1" t="s">
        <v>4</v>
      </c>
      <c r="B6" s="28">
        <f>B4+B5</f>
        <v>92242</v>
      </c>
      <c r="C6" s="28">
        <f t="shared" ref="C6:G6" si="0">C4+C5</f>
        <v>98280</v>
      </c>
      <c r="D6" s="28">
        <f t="shared" si="0"/>
        <v>109606</v>
      </c>
      <c r="E6" s="28">
        <f t="shared" si="0"/>
        <v>121609</v>
      </c>
      <c r="F6" s="43">
        <f t="shared" si="0"/>
        <v>128175</v>
      </c>
      <c r="G6" s="9">
        <f t="shared" si="0"/>
        <v>134721</v>
      </c>
    </row>
    <row r="7" spans="1:7" ht="30.75" thickBot="1" x14ac:dyDescent="0.3">
      <c r="A7" s="10" t="s">
        <v>5</v>
      </c>
      <c r="B7" s="39">
        <f>B4/B3</f>
        <v>2.4045333824186805</v>
      </c>
      <c r="C7" s="39">
        <f t="shared" ref="C7:G7" si="1">C4/C3</f>
        <v>2.4045624889962021</v>
      </c>
      <c r="D7" s="39">
        <f t="shared" si="1"/>
        <v>2.4045701700048179</v>
      </c>
      <c r="E7" s="39">
        <f t="shared" si="1"/>
        <v>2.4045968317996556</v>
      </c>
      <c r="F7" s="39">
        <f t="shared" si="1"/>
        <v>2.404349746967628</v>
      </c>
      <c r="G7" s="40">
        <f t="shared" si="1"/>
        <v>2.4046405140735327</v>
      </c>
    </row>
    <row r="8" spans="1:7" x14ac:dyDescent="0.25">
      <c r="A8" s="1" t="s">
        <v>6</v>
      </c>
      <c r="B8" s="25"/>
      <c r="C8" s="28">
        <f>C6-B6</f>
        <v>6038</v>
      </c>
      <c r="D8" s="28">
        <f t="shared" ref="D8:G8" si="2">D6-C6</f>
        <v>11326</v>
      </c>
      <c r="E8" s="28">
        <f t="shared" si="2"/>
        <v>12003</v>
      </c>
      <c r="F8" s="43">
        <f t="shared" si="2"/>
        <v>6566</v>
      </c>
      <c r="G8" s="3">
        <f t="shared" si="2"/>
        <v>6546</v>
      </c>
    </row>
    <row r="9" spans="1:7" ht="15.75" thickBot="1" x14ac:dyDescent="0.3">
      <c r="A9" s="15" t="s">
        <v>7</v>
      </c>
      <c r="B9" s="16"/>
      <c r="C9" s="17">
        <f>(((C6/B6)^0.33)-1)</f>
        <v>2.1144080724893044E-2</v>
      </c>
      <c r="D9" s="17">
        <f>(((D6/C6)^0.1)-1)</f>
        <v>1.0966856880195719E-2</v>
      </c>
      <c r="E9" s="17">
        <f t="shared" ref="E9" si="3">(((E6/D6)^0.1)-1)</f>
        <v>1.0446069416648607E-2</v>
      </c>
      <c r="F9" s="17">
        <f>(((F6/E6)^0.2)-1)</f>
        <v>1.0572606712206056E-2</v>
      </c>
      <c r="G9" s="18">
        <f>(((G6/F6)^0.2)-1)</f>
        <v>1.0011675936898445E-2</v>
      </c>
    </row>
    <row r="10" spans="1:7" ht="15.75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x14ac:dyDescent="0.25">
      <c r="A11" s="1" t="s">
        <v>9</v>
      </c>
      <c r="B11" s="8">
        <v>8143</v>
      </c>
      <c r="C11" s="8">
        <v>8782</v>
      </c>
      <c r="D11" s="8">
        <v>10855</v>
      </c>
      <c r="E11" s="8">
        <v>12859</v>
      </c>
      <c r="F11" s="8">
        <v>13887</v>
      </c>
      <c r="G11" s="9">
        <v>14894</v>
      </c>
    </row>
    <row r="12" spans="1:7" x14ac:dyDescent="0.25">
      <c r="A12" s="1" t="s">
        <v>10</v>
      </c>
      <c r="B12" s="8">
        <v>3137</v>
      </c>
      <c r="C12" s="8">
        <v>3443</v>
      </c>
      <c r="D12" s="8">
        <v>4256</v>
      </c>
      <c r="E12" s="8">
        <v>5040</v>
      </c>
      <c r="F12" s="8">
        <v>5443</v>
      </c>
      <c r="G12" s="9">
        <v>5839</v>
      </c>
    </row>
    <row r="13" spans="1:7" x14ac:dyDescent="0.25">
      <c r="A13" s="1" t="s">
        <v>11</v>
      </c>
      <c r="B13" s="8">
        <v>4259</v>
      </c>
      <c r="C13" s="8">
        <v>4625</v>
      </c>
      <c r="D13" s="8">
        <v>5717</v>
      </c>
      <c r="E13" s="8">
        <v>6772</v>
      </c>
      <c r="F13" s="8">
        <v>7314</v>
      </c>
      <c r="G13" s="9">
        <v>7845</v>
      </c>
    </row>
    <row r="14" spans="1:7" x14ac:dyDescent="0.25">
      <c r="A14" s="1" t="s">
        <v>12</v>
      </c>
      <c r="B14" s="8">
        <v>4299</v>
      </c>
      <c r="C14" s="8">
        <v>4686</v>
      </c>
      <c r="D14" s="8">
        <v>5793</v>
      </c>
      <c r="E14" s="8">
        <v>6862</v>
      </c>
      <c r="F14" s="8">
        <v>7409</v>
      </c>
      <c r="G14" s="9">
        <v>7949</v>
      </c>
    </row>
    <row r="15" spans="1:7" x14ac:dyDescent="0.25">
      <c r="A15" s="1" t="s">
        <v>13</v>
      </c>
      <c r="B15" s="8">
        <v>4961</v>
      </c>
      <c r="C15" s="8">
        <v>5395</v>
      </c>
      <c r="D15" s="8">
        <v>6669</v>
      </c>
      <c r="E15" s="8">
        <v>7899</v>
      </c>
      <c r="F15" s="8">
        <v>8532</v>
      </c>
      <c r="G15" s="9">
        <v>9150</v>
      </c>
    </row>
    <row r="16" spans="1:7" x14ac:dyDescent="0.25">
      <c r="A16" s="1" t="s">
        <v>14</v>
      </c>
      <c r="B16" s="8">
        <v>4647</v>
      </c>
      <c r="C16" s="8">
        <v>5070</v>
      </c>
      <c r="D16" s="8">
        <v>6266</v>
      </c>
      <c r="E16" s="8">
        <v>7423</v>
      </c>
      <c r="F16" s="8">
        <v>8019</v>
      </c>
      <c r="G16" s="9">
        <v>8597</v>
      </c>
    </row>
    <row r="17" spans="1:7" x14ac:dyDescent="0.25">
      <c r="A17" s="1" t="s">
        <v>15</v>
      </c>
      <c r="B17" s="8">
        <v>4201</v>
      </c>
      <c r="C17" s="8">
        <v>4658</v>
      </c>
      <c r="D17" s="8">
        <v>5757</v>
      </c>
      <c r="E17" s="8">
        <v>6821</v>
      </c>
      <c r="F17" s="8">
        <v>7365</v>
      </c>
      <c r="G17" s="9">
        <v>7899</v>
      </c>
    </row>
    <row r="18" spans="1:7" ht="15.75" thickBot="1" x14ac:dyDescent="0.3">
      <c r="A18" s="1" t="s">
        <v>16</v>
      </c>
      <c r="B18" s="11">
        <v>4221</v>
      </c>
      <c r="C18" s="11">
        <v>4540</v>
      </c>
      <c r="D18" s="11">
        <v>5612</v>
      </c>
      <c r="E18" s="11">
        <v>6648</v>
      </c>
      <c r="F18" s="43">
        <v>7186</v>
      </c>
      <c r="G18" s="9">
        <v>7700</v>
      </c>
    </row>
    <row r="19" spans="1:7" ht="15.75" thickBot="1" x14ac:dyDescent="0.3">
      <c r="A19" s="19" t="s">
        <v>17</v>
      </c>
      <c r="B19" s="20">
        <f>SUM(B11:B18)</f>
        <v>37868</v>
      </c>
      <c r="C19" s="20">
        <f t="shared" ref="C19:G19" si="4">SUM(C11:C18)</f>
        <v>41199</v>
      </c>
      <c r="D19" s="20">
        <f t="shared" si="4"/>
        <v>50925</v>
      </c>
      <c r="E19" s="20">
        <f t="shared" si="4"/>
        <v>60324</v>
      </c>
      <c r="F19" s="20">
        <f t="shared" si="4"/>
        <v>65155</v>
      </c>
      <c r="G19" s="21">
        <f t="shared" si="4"/>
        <v>69873</v>
      </c>
    </row>
    <row r="20" spans="1:7" x14ac:dyDescent="0.25">
      <c r="A20" s="1" t="s">
        <v>18</v>
      </c>
      <c r="B20" s="25"/>
      <c r="C20" s="28">
        <f>C19-B19</f>
        <v>3331</v>
      </c>
      <c r="D20" s="28">
        <f t="shared" ref="D20:G20" si="5">D19-C19</f>
        <v>9726</v>
      </c>
      <c r="E20" s="28">
        <f t="shared" si="5"/>
        <v>9399</v>
      </c>
      <c r="F20" s="43">
        <f t="shared" si="5"/>
        <v>4831</v>
      </c>
      <c r="G20" s="9">
        <f t="shared" si="5"/>
        <v>4718</v>
      </c>
    </row>
    <row r="21" spans="1:7" ht="15.75" thickBot="1" x14ac:dyDescent="0.3">
      <c r="A21" s="15" t="s">
        <v>19</v>
      </c>
      <c r="B21" s="16"/>
      <c r="C21" s="17">
        <f>(((C19/B19)^0.33)-1)</f>
        <v>2.8212125453240144E-2</v>
      </c>
      <c r="D21" s="17">
        <f>(((D19/C19)^0.1)-1)</f>
        <v>2.1420185676461312E-2</v>
      </c>
      <c r="E21" s="17">
        <f>(((E19/D19)^0.1)-1)</f>
        <v>1.7081861799551179E-2</v>
      </c>
      <c r="F21" s="17">
        <f>(((F19/E19)^0.2)-1)</f>
        <v>1.5527114599278802E-2</v>
      </c>
      <c r="G21" s="18">
        <f>(((G19/F19)^0.2)-1)</f>
        <v>1.4080258453819328E-2</v>
      </c>
    </row>
    <row r="22" spans="1:7" ht="15.75" thickTop="1" x14ac:dyDescent="0.25">
      <c r="A22" s="7" t="s">
        <v>20</v>
      </c>
      <c r="B22" s="29"/>
      <c r="C22" s="29"/>
      <c r="D22" s="29"/>
      <c r="E22" s="29"/>
      <c r="F22" s="42"/>
      <c r="G22" s="3"/>
    </row>
    <row r="23" spans="1:7" x14ac:dyDescent="0.25">
      <c r="A23" s="1" t="s">
        <v>21</v>
      </c>
      <c r="B23" s="8">
        <v>9277</v>
      </c>
      <c r="C23" s="8">
        <v>9728</v>
      </c>
      <c r="D23" s="8">
        <v>10495</v>
      </c>
      <c r="E23" s="8">
        <v>11281</v>
      </c>
      <c r="F23" s="8">
        <v>11705</v>
      </c>
      <c r="G23" s="9">
        <v>12122</v>
      </c>
    </row>
    <row r="24" spans="1:7" x14ac:dyDescent="0.25">
      <c r="A24" s="1" t="s">
        <v>22</v>
      </c>
      <c r="B24" s="8">
        <v>6538</v>
      </c>
      <c r="C24" s="8">
        <v>6857</v>
      </c>
      <c r="D24" s="8">
        <v>7397</v>
      </c>
      <c r="E24" s="8">
        <v>7951</v>
      </c>
      <c r="F24" s="8">
        <v>8248</v>
      </c>
      <c r="G24" s="9">
        <v>8544</v>
      </c>
    </row>
    <row r="25" spans="1:7" ht="15.75" thickBot="1" x14ac:dyDescent="0.3">
      <c r="A25" s="1" t="s">
        <v>23</v>
      </c>
      <c r="B25" s="11">
        <v>1372</v>
      </c>
      <c r="C25" s="11">
        <v>1417</v>
      </c>
      <c r="D25" s="11">
        <v>1534</v>
      </c>
      <c r="E25" s="11">
        <v>1787</v>
      </c>
      <c r="F25" s="43">
        <v>1935</v>
      </c>
      <c r="G25" s="9">
        <v>2082</v>
      </c>
    </row>
    <row r="26" spans="1:7" ht="15.75" thickBot="1" x14ac:dyDescent="0.3">
      <c r="A26" s="19" t="s">
        <v>24</v>
      </c>
      <c r="B26" s="20">
        <f>SUM(B23:B25)</f>
        <v>17187</v>
      </c>
      <c r="C26" s="20">
        <f t="shared" ref="C26:G26" si="6">SUM(C23:C25)</f>
        <v>18002</v>
      </c>
      <c r="D26" s="20">
        <f t="shared" si="6"/>
        <v>19426</v>
      </c>
      <c r="E26" s="20">
        <f t="shared" si="6"/>
        <v>21019</v>
      </c>
      <c r="F26" s="20">
        <f t="shared" si="6"/>
        <v>21888</v>
      </c>
      <c r="G26" s="21">
        <f t="shared" si="6"/>
        <v>22748</v>
      </c>
    </row>
    <row r="27" spans="1:7" x14ac:dyDescent="0.25">
      <c r="A27" s="1" t="s">
        <v>25</v>
      </c>
      <c r="B27" s="25"/>
      <c r="C27" s="25">
        <f>C26-B26</f>
        <v>815</v>
      </c>
      <c r="D27" s="28">
        <f t="shared" ref="D27:G27" si="7">D26-C26</f>
        <v>1424</v>
      </c>
      <c r="E27" s="28">
        <f t="shared" si="7"/>
        <v>1593</v>
      </c>
      <c r="F27" s="43">
        <f t="shared" si="7"/>
        <v>869</v>
      </c>
      <c r="G27" s="3">
        <f t="shared" si="7"/>
        <v>860</v>
      </c>
    </row>
    <row r="28" spans="1:7" ht="30.75" thickBot="1" x14ac:dyDescent="0.3">
      <c r="A28" s="10" t="s">
        <v>26</v>
      </c>
      <c r="B28" s="13"/>
      <c r="C28" s="22">
        <f>(((C26/B26)^0.33)-1)</f>
        <v>1.5406231989059105E-2</v>
      </c>
      <c r="D28" s="22">
        <f>(((D26/C26)^0.1)-1)</f>
        <v>7.6420034051298824E-3</v>
      </c>
      <c r="E28" s="22">
        <f>(((E26/D26)^0.1)-1)</f>
        <v>7.9125818767364908E-3</v>
      </c>
      <c r="F28" s="22">
        <f>(((F26/E26)^0.2)-1)</f>
        <v>8.1352630420987726E-3</v>
      </c>
      <c r="G28" s="23">
        <f>(((G26/F26)^0.2)-1)</f>
        <v>7.737518676077304E-3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11FF5-2AC2-4397-9F30-3BA6872672D2}">
  <sheetPr>
    <tabColor theme="6" tint="0.59999389629810485"/>
  </sheetPr>
  <dimension ref="A1:G28"/>
  <sheetViews>
    <sheetView workbookViewId="0">
      <selection activeCell="I11" sqref="I11:L19"/>
    </sheetView>
  </sheetViews>
  <sheetFormatPr defaultRowHeight="15" x14ac:dyDescent="0.25"/>
  <cols>
    <col min="1" max="1" width="23" bestFit="1" customWidth="1"/>
    <col min="2" max="6" width="7.5703125" bestFit="1" customWidth="1"/>
    <col min="7" max="7" width="8.285156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x14ac:dyDescent="0.25">
      <c r="A3" s="1" t="s">
        <v>1</v>
      </c>
      <c r="B3" s="8">
        <v>18251</v>
      </c>
      <c r="C3" s="8">
        <v>18506</v>
      </c>
      <c r="D3" s="8">
        <v>19365</v>
      </c>
      <c r="E3" s="8">
        <v>20224</v>
      </c>
      <c r="F3" s="8">
        <v>20660</v>
      </c>
      <c r="G3" s="9">
        <v>21084</v>
      </c>
    </row>
    <row r="4" spans="1:7" x14ac:dyDescent="0.25">
      <c r="A4" s="1" t="s">
        <v>2</v>
      </c>
      <c r="B4" s="8">
        <v>43369</v>
      </c>
      <c r="C4" s="8">
        <v>44003</v>
      </c>
      <c r="D4" s="8">
        <v>46151</v>
      </c>
      <c r="E4" s="8">
        <v>48298</v>
      </c>
      <c r="F4" s="8">
        <v>49378</v>
      </c>
      <c r="G4" s="9">
        <v>50445</v>
      </c>
    </row>
    <row r="5" spans="1:7" ht="15.75" thickBot="1" x14ac:dyDescent="0.3">
      <c r="A5" s="10" t="s">
        <v>3</v>
      </c>
      <c r="B5" s="13">
        <v>75</v>
      </c>
      <c r="C5" s="13">
        <v>75</v>
      </c>
      <c r="D5" s="13">
        <v>81</v>
      </c>
      <c r="E5" s="13">
        <v>85</v>
      </c>
      <c r="F5" s="13">
        <v>87</v>
      </c>
      <c r="G5" s="14">
        <v>89</v>
      </c>
    </row>
    <row r="6" spans="1:7" x14ac:dyDescent="0.25">
      <c r="A6" s="1" t="s">
        <v>4</v>
      </c>
      <c r="B6" s="28">
        <f>B4+B5</f>
        <v>43444</v>
      </c>
      <c r="C6" s="28">
        <f t="shared" ref="C6:G6" si="0">C4+C5</f>
        <v>44078</v>
      </c>
      <c r="D6" s="28">
        <f t="shared" si="0"/>
        <v>46232</v>
      </c>
      <c r="E6" s="28">
        <f t="shared" si="0"/>
        <v>48383</v>
      </c>
      <c r="F6" s="43">
        <f t="shared" si="0"/>
        <v>49465</v>
      </c>
      <c r="G6" s="9">
        <f t="shared" si="0"/>
        <v>50534</v>
      </c>
    </row>
    <row r="7" spans="1:7" ht="30.75" thickBot="1" x14ac:dyDescent="0.3">
      <c r="A7" s="10" t="s">
        <v>5</v>
      </c>
      <c r="B7" s="39">
        <f>B4/B3</f>
        <v>2.3762533559804941</v>
      </c>
      <c r="C7" s="39">
        <f t="shared" ref="C7:G7" si="1">C4/C3</f>
        <v>2.3777693720955364</v>
      </c>
      <c r="D7" s="39">
        <f t="shared" si="1"/>
        <v>2.3832171443325589</v>
      </c>
      <c r="E7" s="39">
        <f t="shared" si="1"/>
        <v>2.3881526898734178</v>
      </c>
      <c r="F7" s="39">
        <f t="shared" si="1"/>
        <v>2.390029041626331</v>
      </c>
      <c r="G7" s="40">
        <f t="shared" si="1"/>
        <v>2.3925725668753559</v>
      </c>
    </row>
    <row r="8" spans="1:7" x14ac:dyDescent="0.25">
      <c r="A8" s="1" t="s">
        <v>6</v>
      </c>
      <c r="B8" s="25"/>
      <c r="C8" s="28">
        <f>C6-B6</f>
        <v>634</v>
      </c>
      <c r="D8" s="28">
        <f t="shared" ref="D8:G8" si="2">D6-C6</f>
        <v>2154</v>
      </c>
      <c r="E8" s="28">
        <f t="shared" si="2"/>
        <v>2151</v>
      </c>
      <c r="F8" s="43">
        <f t="shared" si="2"/>
        <v>1082</v>
      </c>
      <c r="G8" s="9">
        <f t="shared" si="2"/>
        <v>1069</v>
      </c>
    </row>
    <row r="9" spans="1:7" ht="15.75" thickBot="1" x14ac:dyDescent="0.3">
      <c r="A9" s="15" t="s">
        <v>7</v>
      </c>
      <c r="B9" s="16"/>
      <c r="C9" s="17">
        <f>(((C6/B6)^0.33)-1)</f>
        <v>4.7925004546172101E-3</v>
      </c>
      <c r="D9" s="17">
        <f>(((D6/C6)^0.1)-1)</f>
        <v>4.7825407401549391E-3</v>
      </c>
      <c r="E9" s="17">
        <f t="shared" ref="E9" si="3">(((E6/D6)^0.1)-1)</f>
        <v>4.5579875019601257E-3</v>
      </c>
      <c r="F9" s="17">
        <f>(((F6/E6)^0.2)-1)</f>
        <v>4.433164813987478E-3</v>
      </c>
      <c r="G9" s="18">
        <f>(((G6/F6)^0.2)-1)</f>
        <v>4.2853616717801746E-3</v>
      </c>
    </row>
    <row r="10" spans="1:7" ht="15.75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x14ac:dyDescent="0.25">
      <c r="A11" s="1" t="s">
        <v>9</v>
      </c>
      <c r="B11" s="8">
        <v>5020</v>
      </c>
      <c r="C11" s="8">
        <v>5127</v>
      </c>
      <c r="D11" s="8">
        <v>5493</v>
      </c>
      <c r="E11" s="8">
        <v>5862</v>
      </c>
      <c r="F11" s="8">
        <v>6050</v>
      </c>
      <c r="G11" s="9">
        <v>6229</v>
      </c>
    </row>
    <row r="12" spans="1:7" x14ac:dyDescent="0.25">
      <c r="A12" s="1" t="s">
        <v>10</v>
      </c>
      <c r="B12" s="2">
        <v>543</v>
      </c>
      <c r="C12" s="2">
        <v>630</v>
      </c>
      <c r="D12" s="2">
        <v>932</v>
      </c>
      <c r="E12" s="8">
        <v>1228</v>
      </c>
      <c r="F12" s="8">
        <v>1380</v>
      </c>
      <c r="G12" s="9">
        <v>1528</v>
      </c>
    </row>
    <row r="13" spans="1:7" x14ac:dyDescent="0.25">
      <c r="A13" s="1" t="s">
        <v>11</v>
      </c>
      <c r="B13" s="8">
        <v>2072</v>
      </c>
      <c r="C13" s="8">
        <v>2228</v>
      </c>
      <c r="D13" s="8">
        <v>2755</v>
      </c>
      <c r="E13" s="8">
        <v>3275</v>
      </c>
      <c r="F13" s="8">
        <v>3542</v>
      </c>
      <c r="G13" s="9">
        <v>3799</v>
      </c>
    </row>
    <row r="14" spans="1:7" x14ac:dyDescent="0.25">
      <c r="A14" s="1" t="s">
        <v>12</v>
      </c>
      <c r="B14" s="8">
        <v>1842</v>
      </c>
      <c r="C14" s="8">
        <v>1904</v>
      </c>
      <c r="D14" s="8">
        <v>2116</v>
      </c>
      <c r="E14" s="8">
        <v>2316</v>
      </c>
      <c r="F14" s="8">
        <v>2427</v>
      </c>
      <c r="G14" s="9">
        <v>2528</v>
      </c>
    </row>
    <row r="15" spans="1:7" x14ac:dyDescent="0.25">
      <c r="A15" s="1" t="s">
        <v>13</v>
      </c>
      <c r="B15" s="2">
        <v>882</v>
      </c>
      <c r="C15" s="8">
        <v>974</v>
      </c>
      <c r="D15" s="8">
        <v>1283</v>
      </c>
      <c r="E15" s="8">
        <v>1580</v>
      </c>
      <c r="F15" s="8">
        <v>1741</v>
      </c>
      <c r="G15" s="9">
        <v>1891</v>
      </c>
    </row>
    <row r="16" spans="1:7" x14ac:dyDescent="0.25">
      <c r="A16" s="1" t="s">
        <v>14</v>
      </c>
      <c r="B16" s="2">
        <v>788</v>
      </c>
      <c r="C16" s="8">
        <v>919</v>
      </c>
      <c r="D16" s="8">
        <v>1367</v>
      </c>
      <c r="E16" s="8">
        <v>1806</v>
      </c>
      <c r="F16" s="8">
        <v>2040</v>
      </c>
      <c r="G16" s="9">
        <v>2254</v>
      </c>
    </row>
    <row r="17" spans="1:7" x14ac:dyDescent="0.25">
      <c r="A17" s="1" t="s">
        <v>15</v>
      </c>
      <c r="B17" s="8">
        <v>7236</v>
      </c>
      <c r="C17" s="8">
        <v>7325</v>
      </c>
      <c r="D17" s="8">
        <v>7610</v>
      </c>
      <c r="E17" s="8">
        <v>7893</v>
      </c>
      <c r="F17" s="8">
        <v>8042</v>
      </c>
      <c r="G17" s="9">
        <v>8182</v>
      </c>
    </row>
    <row r="18" spans="1:7" ht="15.75" thickBot="1" x14ac:dyDescent="0.3">
      <c r="A18" s="1" t="s">
        <v>16</v>
      </c>
      <c r="B18" s="13">
        <v>380</v>
      </c>
      <c r="C18" s="13">
        <v>380</v>
      </c>
      <c r="D18" s="11">
        <v>380</v>
      </c>
      <c r="E18" s="11">
        <v>380</v>
      </c>
      <c r="F18" s="43">
        <v>380</v>
      </c>
      <c r="G18" s="9">
        <v>380</v>
      </c>
    </row>
    <row r="19" spans="1:7" ht="15.75" thickBot="1" x14ac:dyDescent="0.3">
      <c r="A19" s="19" t="s">
        <v>17</v>
      </c>
      <c r="B19" s="20">
        <f>SUM(B11:B18)</f>
        <v>18763</v>
      </c>
      <c r="C19" s="20">
        <f t="shared" ref="C19:G19" si="4">SUM(C11:C18)</f>
        <v>19487</v>
      </c>
      <c r="D19" s="20">
        <f t="shared" si="4"/>
        <v>21936</v>
      </c>
      <c r="E19" s="20">
        <f t="shared" si="4"/>
        <v>24340</v>
      </c>
      <c r="F19" s="20">
        <f t="shared" si="4"/>
        <v>25602</v>
      </c>
      <c r="G19" s="21">
        <f t="shared" si="4"/>
        <v>26791</v>
      </c>
    </row>
    <row r="20" spans="1:7" x14ac:dyDescent="0.25">
      <c r="A20" s="1" t="s">
        <v>18</v>
      </c>
      <c r="B20" s="25"/>
      <c r="C20" s="28">
        <f>C19-B19</f>
        <v>724</v>
      </c>
      <c r="D20" s="28">
        <f t="shared" ref="D20:G20" si="5">D19-C19</f>
        <v>2449</v>
      </c>
      <c r="E20" s="28">
        <f t="shared" si="5"/>
        <v>2404</v>
      </c>
      <c r="F20" s="43">
        <f t="shared" si="5"/>
        <v>1262</v>
      </c>
      <c r="G20" s="9">
        <f t="shared" si="5"/>
        <v>1189</v>
      </c>
    </row>
    <row r="21" spans="1:7" ht="15.75" thickBot="1" x14ac:dyDescent="0.3">
      <c r="A21" s="15" t="s">
        <v>19</v>
      </c>
      <c r="B21" s="16"/>
      <c r="C21" s="17">
        <f>(((C19/B19)^0.33)-1)</f>
        <v>1.2572417862160679E-2</v>
      </c>
      <c r="D21" s="17">
        <f>(((D19/C19)^0.1)-1)</f>
        <v>1.1908502900098927E-2</v>
      </c>
      <c r="E21" s="17">
        <f>(((E19/D19)^0.1)-1)</f>
        <v>1.0453456039781761E-2</v>
      </c>
      <c r="F21" s="17">
        <f>(((F19/E19)^0.2)-1)</f>
        <v>1.0161154640429881E-2</v>
      </c>
      <c r="G21" s="18">
        <f>(((G19/F19)^0.2)-1)</f>
        <v>9.1204474683048709E-3</v>
      </c>
    </row>
    <row r="22" spans="1:7" ht="15.75" thickTop="1" x14ac:dyDescent="0.25">
      <c r="A22" s="7" t="s">
        <v>20</v>
      </c>
      <c r="B22" s="29"/>
      <c r="C22" s="29"/>
      <c r="D22" s="29"/>
      <c r="E22" s="29"/>
      <c r="F22" s="42"/>
      <c r="G22" s="3"/>
    </row>
    <row r="23" spans="1:7" x14ac:dyDescent="0.25">
      <c r="A23" s="1" t="s">
        <v>21</v>
      </c>
      <c r="B23" s="8">
        <v>4948</v>
      </c>
      <c r="C23" s="8">
        <v>4761</v>
      </c>
      <c r="D23" s="8">
        <v>5059</v>
      </c>
      <c r="E23" s="8">
        <v>5277</v>
      </c>
      <c r="F23" s="8">
        <v>5402</v>
      </c>
      <c r="G23" s="9">
        <v>5527</v>
      </c>
    </row>
    <row r="24" spans="1:7" x14ac:dyDescent="0.25">
      <c r="A24" s="1" t="s">
        <v>22</v>
      </c>
      <c r="B24" s="8">
        <v>1678</v>
      </c>
      <c r="C24" s="8">
        <v>1782</v>
      </c>
      <c r="D24" s="8">
        <v>1989</v>
      </c>
      <c r="E24" s="8">
        <v>2196</v>
      </c>
      <c r="F24" s="8">
        <v>2300</v>
      </c>
      <c r="G24" s="9">
        <v>2403</v>
      </c>
    </row>
    <row r="25" spans="1:7" ht="15.75" thickBot="1" x14ac:dyDescent="0.3">
      <c r="A25" s="1" t="s">
        <v>23</v>
      </c>
      <c r="B25" s="13">
        <v>0</v>
      </c>
      <c r="C25" s="13">
        <v>0</v>
      </c>
      <c r="D25" s="13">
        <v>0</v>
      </c>
      <c r="E25" s="13">
        <v>0</v>
      </c>
      <c r="F25" s="42">
        <v>0</v>
      </c>
      <c r="G25" s="3">
        <v>0</v>
      </c>
    </row>
    <row r="26" spans="1:7" ht="15.75" thickBot="1" x14ac:dyDescent="0.3">
      <c r="A26" s="19" t="s">
        <v>24</v>
      </c>
      <c r="B26" s="20">
        <f>SUM(B23:B25)</f>
        <v>6626</v>
      </c>
      <c r="C26" s="20">
        <f t="shared" ref="C26:G26" si="6">SUM(C23:C25)</f>
        <v>6543</v>
      </c>
      <c r="D26" s="20">
        <f t="shared" si="6"/>
        <v>7048</v>
      </c>
      <c r="E26" s="20">
        <f t="shared" si="6"/>
        <v>7473</v>
      </c>
      <c r="F26" s="20">
        <f t="shared" si="6"/>
        <v>7702</v>
      </c>
      <c r="G26" s="21">
        <f t="shared" si="6"/>
        <v>7930</v>
      </c>
    </row>
    <row r="27" spans="1:7" x14ac:dyDescent="0.25">
      <c r="A27" s="1" t="s">
        <v>25</v>
      </c>
      <c r="B27" s="25"/>
      <c r="C27" s="28">
        <f>C26-B26</f>
        <v>-83</v>
      </c>
      <c r="D27" s="28">
        <f t="shared" ref="D27:G27" si="7">D26-C26</f>
        <v>505</v>
      </c>
      <c r="E27" s="28">
        <f t="shared" si="7"/>
        <v>425</v>
      </c>
      <c r="F27" s="43">
        <f t="shared" si="7"/>
        <v>229</v>
      </c>
      <c r="G27" s="3">
        <f t="shared" si="7"/>
        <v>228</v>
      </c>
    </row>
    <row r="28" spans="1:7" ht="30.75" thickBot="1" x14ac:dyDescent="0.3">
      <c r="A28" s="10" t="s">
        <v>26</v>
      </c>
      <c r="B28" s="13"/>
      <c r="C28" s="22">
        <f>(((C26/B26)^0.33)-1)</f>
        <v>-4.1511841524560777E-3</v>
      </c>
      <c r="D28" s="22">
        <f>(((D26/C26)^0.1)-1)</f>
        <v>7.4625181064305046E-3</v>
      </c>
      <c r="E28" s="22">
        <f>(((E26/D26)^0.1)-1)</f>
        <v>5.8724391936424425E-3</v>
      </c>
      <c r="F28" s="22">
        <f>(((F26/E26)^0.2)-1)</f>
        <v>6.0549596950552065E-3</v>
      </c>
      <c r="G28" s="23">
        <f>(((G26/F26)^0.2)-1)</f>
        <v>5.8516544821463068E-3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25B7F-8E7E-4C25-AF8B-3F580C19DA87}">
  <sheetPr>
    <tabColor theme="6" tint="0.59999389629810485"/>
  </sheetPr>
  <dimension ref="A1:G28"/>
  <sheetViews>
    <sheetView workbookViewId="0">
      <selection activeCell="I11" sqref="I11:L20"/>
    </sheetView>
  </sheetViews>
  <sheetFormatPr defaultRowHeight="14.45" customHeight="1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4.45" customHeight="1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14.45" customHeight="1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ht="14.45" customHeight="1" x14ac:dyDescent="0.25">
      <c r="A3" s="1" t="s">
        <v>1</v>
      </c>
      <c r="B3" s="8">
        <v>118341</v>
      </c>
      <c r="C3" s="8">
        <v>123834</v>
      </c>
      <c r="D3" s="8">
        <v>142183</v>
      </c>
      <c r="E3" s="8">
        <v>160535</v>
      </c>
      <c r="F3" s="8">
        <v>169806</v>
      </c>
      <c r="G3" s="9">
        <v>178919</v>
      </c>
    </row>
    <row r="4" spans="1:7" ht="14.45" customHeight="1" x14ac:dyDescent="0.25">
      <c r="A4" s="1" t="s">
        <v>2</v>
      </c>
      <c r="B4" s="8">
        <v>289103</v>
      </c>
      <c r="C4" s="8">
        <v>302758</v>
      </c>
      <c r="D4" s="8">
        <v>348373</v>
      </c>
      <c r="E4" s="8">
        <v>393989</v>
      </c>
      <c r="F4" s="8">
        <v>416935</v>
      </c>
      <c r="G4" s="9">
        <v>439699</v>
      </c>
    </row>
    <row r="5" spans="1:7" ht="14.45" customHeight="1" thickBot="1" x14ac:dyDescent="0.3">
      <c r="A5" s="10" t="s">
        <v>3</v>
      </c>
      <c r="B5" s="11">
        <v>3924</v>
      </c>
      <c r="C5" s="11">
        <v>4124</v>
      </c>
      <c r="D5" s="11">
        <v>4778</v>
      </c>
      <c r="E5" s="11">
        <v>5432</v>
      </c>
      <c r="F5" s="11">
        <v>5787</v>
      </c>
      <c r="G5" s="12">
        <v>6122</v>
      </c>
    </row>
    <row r="6" spans="1:7" ht="14.45" customHeight="1" x14ac:dyDescent="0.25">
      <c r="A6" s="1" t="s">
        <v>4</v>
      </c>
      <c r="B6" s="28">
        <f>B4+B5</f>
        <v>293027</v>
      </c>
      <c r="C6" s="28">
        <f t="shared" ref="C6:G6" si="0">C4+C5</f>
        <v>306882</v>
      </c>
      <c r="D6" s="28">
        <f t="shared" si="0"/>
        <v>353151</v>
      </c>
      <c r="E6" s="28">
        <f t="shared" si="0"/>
        <v>399421</v>
      </c>
      <c r="F6" s="43">
        <f t="shared" si="0"/>
        <v>422722</v>
      </c>
      <c r="G6" s="9">
        <f t="shared" si="0"/>
        <v>445821</v>
      </c>
    </row>
    <row r="7" spans="1:7" ht="14.45" customHeight="1" thickBot="1" x14ac:dyDescent="0.3">
      <c r="A7" s="10" t="s">
        <v>5</v>
      </c>
      <c r="B7" s="13">
        <f>B4/B3</f>
        <v>2.442965667013123</v>
      </c>
      <c r="C7" s="13">
        <f t="shared" ref="C7:G7" si="1">C4/C3</f>
        <v>2.4448697449811845</v>
      </c>
      <c r="D7" s="13">
        <f t="shared" si="1"/>
        <v>2.4501733681241782</v>
      </c>
      <c r="E7" s="13">
        <f t="shared" si="1"/>
        <v>2.4542249353723489</v>
      </c>
      <c r="F7" s="13">
        <f t="shared" si="1"/>
        <v>2.455360823528026</v>
      </c>
      <c r="G7" s="14">
        <f t="shared" si="1"/>
        <v>2.4575310615418151</v>
      </c>
    </row>
    <row r="8" spans="1:7" ht="14.45" customHeight="1" x14ac:dyDescent="0.25">
      <c r="A8" s="1" t="s">
        <v>6</v>
      </c>
      <c r="B8" s="25"/>
      <c r="C8" s="28">
        <f>C6-B6</f>
        <v>13855</v>
      </c>
      <c r="D8" s="28">
        <f t="shared" ref="D8:G8" si="2">D6-C6</f>
        <v>46269</v>
      </c>
      <c r="E8" s="28">
        <f t="shared" si="2"/>
        <v>46270</v>
      </c>
      <c r="F8" s="43">
        <f t="shared" si="2"/>
        <v>23301</v>
      </c>
      <c r="G8" s="9">
        <f t="shared" si="2"/>
        <v>23099</v>
      </c>
    </row>
    <row r="9" spans="1:7" ht="14.45" customHeight="1" thickBot="1" x14ac:dyDescent="0.3">
      <c r="A9" s="15" t="s">
        <v>7</v>
      </c>
      <c r="B9" s="16"/>
      <c r="C9" s="17">
        <f>(((C6/B6)^0.33)-1)</f>
        <v>1.5362328615639909E-2</v>
      </c>
      <c r="D9" s="17">
        <f>(((D6/C6)^0.1)-1)</f>
        <v>1.4142311393205764E-2</v>
      </c>
      <c r="E9" s="17">
        <f t="shared" ref="E9" si="3">(((E6/D6)^0.1)-1)</f>
        <v>1.238813211647094E-2</v>
      </c>
      <c r="F9" s="17">
        <f>(((F6/E6)^0.2)-1)</f>
        <v>1.140428951840855E-2</v>
      </c>
      <c r="G9" s="18">
        <f>(((G6/F6)^0.2)-1)</f>
        <v>1.0697366743569248E-2</v>
      </c>
    </row>
    <row r="10" spans="1:7" ht="14.45" customHeight="1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ht="14.45" customHeight="1" x14ac:dyDescent="0.25">
      <c r="A11" s="1" t="s">
        <v>9</v>
      </c>
      <c r="B11" s="8">
        <v>20552</v>
      </c>
      <c r="C11" s="8">
        <v>23142</v>
      </c>
      <c r="D11" s="8">
        <v>31788</v>
      </c>
      <c r="E11" s="8">
        <v>40435</v>
      </c>
      <c r="F11" s="8">
        <v>44787</v>
      </c>
      <c r="G11" s="9">
        <v>49083</v>
      </c>
    </row>
    <row r="12" spans="1:7" ht="14.45" customHeight="1" x14ac:dyDescent="0.25">
      <c r="A12" s="1" t="s">
        <v>10</v>
      </c>
      <c r="B12" s="8">
        <v>5510</v>
      </c>
      <c r="C12" s="8">
        <v>6865</v>
      </c>
      <c r="D12" s="8">
        <v>11389</v>
      </c>
      <c r="E12" s="8">
        <v>15921</v>
      </c>
      <c r="F12" s="8">
        <v>18209</v>
      </c>
      <c r="G12" s="9">
        <v>20458</v>
      </c>
    </row>
    <row r="13" spans="1:7" ht="14.45" customHeight="1" x14ac:dyDescent="0.25">
      <c r="A13" s="1" t="s">
        <v>11</v>
      </c>
      <c r="B13" s="8">
        <v>13172</v>
      </c>
      <c r="C13" s="8">
        <v>13711</v>
      </c>
      <c r="D13" s="8">
        <v>15582</v>
      </c>
      <c r="E13" s="8">
        <v>17431</v>
      </c>
      <c r="F13" s="8">
        <v>18409</v>
      </c>
      <c r="G13" s="9">
        <v>19300</v>
      </c>
    </row>
    <row r="14" spans="1:7" ht="14.45" customHeight="1" x14ac:dyDescent="0.25">
      <c r="A14" s="1" t="s">
        <v>12</v>
      </c>
      <c r="B14" s="8">
        <v>14651</v>
      </c>
      <c r="C14" s="8">
        <v>15348</v>
      </c>
      <c r="D14" s="8">
        <v>17693</v>
      </c>
      <c r="E14" s="8">
        <v>20047</v>
      </c>
      <c r="F14" s="8">
        <v>21263</v>
      </c>
      <c r="G14" s="9">
        <v>22407</v>
      </c>
    </row>
    <row r="15" spans="1:7" ht="14.45" customHeight="1" x14ac:dyDescent="0.25">
      <c r="A15" s="1" t="s">
        <v>13</v>
      </c>
      <c r="B15" s="8">
        <v>10728</v>
      </c>
      <c r="C15" s="8">
        <v>11534</v>
      </c>
      <c r="D15" s="8">
        <v>14279</v>
      </c>
      <c r="E15" s="8">
        <v>16990</v>
      </c>
      <c r="F15" s="8">
        <v>18444</v>
      </c>
      <c r="G15" s="9">
        <v>19749</v>
      </c>
    </row>
    <row r="16" spans="1:7" ht="14.45" customHeight="1" x14ac:dyDescent="0.25">
      <c r="A16" s="1" t="s">
        <v>14</v>
      </c>
      <c r="B16" s="8">
        <v>10597</v>
      </c>
      <c r="C16" s="8">
        <v>11542</v>
      </c>
      <c r="D16" s="8">
        <v>14599</v>
      </c>
      <c r="E16" s="8">
        <v>17635</v>
      </c>
      <c r="F16" s="8">
        <v>19229</v>
      </c>
      <c r="G16" s="9">
        <v>20712</v>
      </c>
    </row>
    <row r="17" spans="1:7" ht="14.45" customHeight="1" x14ac:dyDescent="0.25">
      <c r="A17" s="1" t="s">
        <v>15</v>
      </c>
      <c r="B17" s="8">
        <v>27750</v>
      </c>
      <c r="C17" s="8">
        <v>28875</v>
      </c>
      <c r="D17" s="8">
        <v>32668</v>
      </c>
      <c r="E17" s="8">
        <v>36464</v>
      </c>
      <c r="F17" s="8">
        <v>38382</v>
      </c>
      <c r="G17" s="9">
        <v>40259</v>
      </c>
    </row>
    <row r="18" spans="1:7" ht="14.45" customHeight="1" thickBot="1" x14ac:dyDescent="0.3">
      <c r="A18" s="1" t="s">
        <v>16</v>
      </c>
      <c r="B18" s="11">
        <v>5557</v>
      </c>
      <c r="C18" s="11">
        <v>5946</v>
      </c>
      <c r="D18" s="11">
        <v>7168</v>
      </c>
      <c r="E18" s="11">
        <v>8397</v>
      </c>
      <c r="F18" s="43">
        <v>9059</v>
      </c>
      <c r="G18" s="9">
        <v>9660</v>
      </c>
    </row>
    <row r="19" spans="1:7" ht="14.45" customHeight="1" thickBot="1" x14ac:dyDescent="0.3">
      <c r="A19" s="19" t="s">
        <v>17</v>
      </c>
      <c r="B19" s="20">
        <f>SUM(B11:B18)</f>
        <v>108517</v>
      </c>
      <c r="C19" s="20">
        <f t="shared" ref="C19:G19" si="4">SUM(C11:C18)</f>
        <v>116963</v>
      </c>
      <c r="D19" s="20">
        <f t="shared" si="4"/>
        <v>145166</v>
      </c>
      <c r="E19" s="20">
        <f t="shared" si="4"/>
        <v>173320</v>
      </c>
      <c r="F19" s="20">
        <f t="shared" si="4"/>
        <v>187782</v>
      </c>
      <c r="G19" s="21">
        <f t="shared" si="4"/>
        <v>201628</v>
      </c>
    </row>
    <row r="20" spans="1:7" ht="14.45" customHeight="1" x14ac:dyDescent="0.25">
      <c r="A20" s="1" t="s">
        <v>18</v>
      </c>
      <c r="B20" s="25"/>
      <c r="C20" s="28">
        <f>C19-B19</f>
        <v>8446</v>
      </c>
      <c r="D20" s="28">
        <f t="shared" ref="D20:G20" si="5">D19-C19</f>
        <v>28203</v>
      </c>
      <c r="E20" s="28">
        <f t="shared" si="5"/>
        <v>28154</v>
      </c>
      <c r="F20" s="43">
        <f t="shared" si="5"/>
        <v>14462</v>
      </c>
      <c r="G20" s="9">
        <f t="shared" si="5"/>
        <v>13846</v>
      </c>
    </row>
    <row r="21" spans="1:7" ht="14.45" customHeight="1" thickBot="1" x14ac:dyDescent="0.3">
      <c r="A21" s="15" t="s">
        <v>19</v>
      </c>
      <c r="B21" s="16"/>
      <c r="C21" s="17">
        <f>(((C19/B19)^0.33)-1)</f>
        <v>2.5042181987075418E-2</v>
      </c>
      <c r="D21" s="17">
        <f>(((D19/C19)^0.1)-1)</f>
        <v>2.1837039958636284E-2</v>
      </c>
      <c r="E21" s="17">
        <f>(((E19/D19)^0.1)-1)</f>
        <v>1.788420912614308E-2</v>
      </c>
      <c r="F21" s="17">
        <f>(((F19/E19)^0.2)-1)</f>
        <v>1.6157567986711641E-2</v>
      </c>
      <c r="G21" s="18">
        <f>(((G19/F19)^0.2)-1)</f>
        <v>1.4330247466843637E-2</v>
      </c>
    </row>
    <row r="22" spans="1:7" ht="14.45" customHeight="1" thickTop="1" x14ac:dyDescent="0.25">
      <c r="A22" s="7" t="s">
        <v>20</v>
      </c>
      <c r="B22" s="29"/>
      <c r="C22" s="29"/>
      <c r="D22" s="29"/>
      <c r="E22" s="29"/>
      <c r="F22" s="42"/>
      <c r="G22" s="3"/>
    </row>
    <row r="23" spans="1:7" ht="14.45" customHeight="1" x14ac:dyDescent="0.25">
      <c r="A23" s="1" t="s">
        <v>21</v>
      </c>
      <c r="B23" s="8">
        <v>36931</v>
      </c>
      <c r="C23" s="8">
        <v>38579</v>
      </c>
      <c r="D23" s="8">
        <v>41877</v>
      </c>
      <c r="E23" s="8">
        <v>45175</v>
      </c>
      <c r="F23" s="8">
        <v>46825</v>
      </c>
      <c r="G23" s="9">
        <v>48472</v>
      </c>
    </row>
    <row r="24" spans="1:7" ht="14.45" customHeight="1" x14ac:dyDescent="0.25">
      <c r="A24" s="1" t="s">
        <v>22</v>
      </c>
      <c r="B24" s="8">
        <v>16546</v>
      </c>
      <c r="C24" s="8">
        <v>17925</v>
      </c>
      <c r="D24" s="8">
        <v>20683</v>
      </c>
      <c r="E24" s="8">
        <v>23442</v>
      </c>
      <c r="F24" s="8">
        <v>24822</v>
      </c>
      <c r="G24" s="9">
        <v>26200</v>
      </c>
    </row>
    <row r="25" spans="1:7" ht="14.45" customHeight="1" thickBot="1" x14ac:dyDescent="0.3">
      <c r="A25" s="1" t="s">
        <v>23</v>
      </c>
      <c r="B25" s="11">
        <v>9430</v>
      </c>
      <c r="C25" s="11">
        <v>9948</v>
      </c>
      <c r="D25" s="11">
        <v>11676</v>
      </c>
      <c r="E25" s="11">
        <v>13404</v>
      </c>
      <c r="F25" s="43">
        <v>14268</v>
      </c>
      <c r="G25" s="9">
        <v>15132</v>
      </c>
    </row>
    <row r="26" spans="1:7" ht="14.45" customHeight="1" thickBot="1" x14ac:dyDescent="0.3">
      <c r="A26" s="19" t="s">
        <v>24</v>
      </c>
      <c r="B26" s="20">
        <f>SUM(B23:B25)</f>
        <v>62907</v>
      </c>
      <c r="C26" s="20">
        <f t="shared" ref="C26:G26" si="6">SUM(C23:C25)</f>
        <v>66452</v>
      </c>
      <c r="D26" s="20">
        <f t="shared" si="6"/>
        <v>74236</v>
      </c>
      <c r="E26" s="20">
        <f t="shared" si="6"/>
        <v>82021</v>
      </c>
      <c r="F26" s="20">
        <f t="shared" si="6"/>
        <v>85915</v>
      </c>
      <c r="G26" s="21">
        <f t="shared" si="6"/>
        <v>89804</v>
      </c>
    </row>
    <row r="27" spans="1:7" ht="14.45" customHeight="1" x14ac:dyDescent="0.25">
      <c r="A27" s="1" t="s">
        <v>25</v>
      </c>
      <c r="B27" s="25"/>
      <c r="C27" s="28">
        <f>C26-B26</f>
        <v>3545</v>
      </c>
      <c r="D27" s="28">
        <f t="shared" ref="D27:G27" si="7">D26-C26</f>
        <v>7784</v>
      </c>
      <c r="E27" s="28">
        <f t="shared" si="7"/>
        <v>7785</v>
      </c>
      <c r="F27" s="43">
        <f t="shared" si="7"/>
        <v>3894</v>
      </c>
      <c r="G27" s="9">
        <f t="shared" si="7"/>
        <v>3889</v>
      </c>
    </row>
    <row r="28" spans="1:7" ht="14.45" customHeight="1" thickBot="1" x14ac:dyDescent="0.3">
      <c r="A28" s="10" t="s">
        <v>26</v>
      </c>
      <c r="B28" s="13"/>
      <c r="C28" s="22">
        <f>(((C26/B26)^0.33)-1)</f>
        <v>1.8256045110184527E-2</v>
      </c>
      <c r="D28" s="22">
        <f>(((D26/C26)^0.1)-1)</f>
        <v>1.1138508885258913E-2</v>
      </c>
      <c r="E28" s="22">
        <f>(((E26/D26)^0.1)-1)</f>
        <v>1.0022502625474328E-2</v>
      </c>
      <c r="F28" s="22">
        <f>(((F26/E26)^0.2)-1)</f>
        <v>9.319785915139045E-3</v>
      </c>
      <c r="G28" s="23">
        <f>(((G26/F26)^0.2)-1)</f>
        <v>8.8935309915265659E-3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85CA1-CC06-4A7C-A34E-3EEB788880F5}">
  <sheetPr>
    <tabColor theme="6" tint="0.59999389629810485"/>
  </sheetPr>
  <dimension ref="A1:G29"/>
  <sheetViews>
    <sheetView workbookViewId="0">
      <selection activeCell="I11" sqref="I11:L19"/>
    </sheetView>
  </sheetViews>
  <sheetFormatPr defaultRowHeight="15" x14ac:dyDescent="0.25"/>
  <cols>
    <col min="1" max="1" width="23.7109375" customWidth="1"/>
    <col min="2" max="4" width="6.42578125" bestFit="1" customWidth="1"/>
    <col min="5" max="5" width="7.85546875" bestFit="1" customWidth="1"/>
    <col min="6" max="6" width="6.42578125" customWidth="1"/>
    <col min="7" max="7" width="6.42578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6"/>
      <c r="C2" s="26"/>
      <c r="D2" s="26"/>
      <c r="E2" s="2" t="s">
        <v>28</v>
      </c>
      <c r="F2" s="2"/>
      <c r="G2" s="3"/>
    </row>
    <row r="3" spans="1:7" x14ac:dyDescent="0.25">
      <c r="A3" s="1" t="s">
        <v>1</v>
      </c>
      <c r="B3" s="8">
        <v>4734</v>
      </c>
      <c r="C3" s="8">
        <v>5136</v>
      </c>
      <c r="D3" s="8">
        <v>6470</v>
      </c>
      <c r="E3" s="8">
        <v>7805</v>
      </c>
      <c r="F3" s="8">
        <v>8470</v>
      </c>
      <c r="G3" s="9">
        <v>9135</v>
      </c>
    </row>
    <row r="4" spans="1:7" x14ac:dyDescent="0.25">
      <c r="A4" s="1" t="s">
        <v>2</v>
      </c>
      <c r="B4" s="8">
        <v>11328</v>
      </c>
      <c r="C4" s="8">
        <v>12307</v>
      </c>
      <c r="D4" s="8">
        <v>15581</v>
      </c>
      <c r="E4" s="8">
        <v>18851</v>
      </c>
      <c r="F4" s="8">
        <v>20484</v>
      </c>
      <c r="G4" s="9">
        <v>22117</v>
      </c>
    </row>
    <row r="5" spans="1:7" ht="15.75" thickBot="1" x14ac:dyDescent="0.3">
      <c r="A5" s="10" t="s">
        <v>3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4">
        <v>0</v>
      </c>
    </row>
    <row r="6" spans="1:7" x14ac:dyDescent="0.25">
      <c r="A6" s="1" t="s">
        <v>4</v>
      </c>
      <c r="B6" s="8">
        <f>B4+B5</f>
        <v>11328</v>
      </c>
      <c r="C6" s="8">
        <f t="shared" ref="C6:G6" si="0">C4+C5</f>
        <v>12307</v>
      </c>
      <c r="D6" s="8">
        <f t="shared" si="0"/>
        <v>15581</v>
      </c>
      <c r="E6" s="8">
        <f t="shared" si="0"/>
        <v>18851</v>
      </c>
      <c r="F6" s="8">
        <f t="shared" si="0"/>
        <v>20484</v>
      </c>
      <c r="G6" s="9">
        <f t="shared" si="0"/>
        <v>22117</v>
      </c>
    </row>
    <row r="7" spans="1:7" ht="30.75" thickBot="1" x14ac:dyDescent="0.3">
      <c r="A7" s="10" t="s">
        <v>5</v>
      </c>
      <c r="B7" s="39">
        <f>B4/B3</f>
        <v>2.3929024081115338</v>
      </c>
      <c r="C7" s="39">
        <f t="shared" ref="C7:G7" si="1">C4/C3</f>
        <v>2.3962227414330219</v>
      </c>
      <c r="D7" s="39">
        <f t="shared" si="1"/>
        <v>2.4081916537867079</v>
      </c>
      <c r="E7" s="39">
        <f t="shared" si="1"/>
        <v>2.4152466367713004</v>
      </c>
      <c r="F7" s="39">
        <f t="shared" si="1"/>
        <v>2.4184179456906731</v>
      </c>
      <c r="G7" s="40">
        <f t="shared" si="1"/>
        <v>2.4211275314723593</v>
      </c>
    </row>
    <row r="8" spans="1:7" x14ac:dyDescent="0.25">
      <c r="A8" s="1" t="s">
        <v>6</v>
      </c>
      <c r="B8" s="2"/>
      <c r="C8" s="8">
        <f>C6-B6</f>
        <v>979</v>
      </c>
      <c r="D8" s="8">
        <f t="shared" ref="D8:G8" si="2">D6-C6</f>
        <v>3274</v>
      </c>
      <c r="E8" s="8">
        <f t="shared" si="2"/>
        <v>3270</v>
      </c>
      <c r="F8" s="8">
        <f t="shared" si="2"/>
        <v>1633</v>
      </c>
      <c r="G8" s="3">
        <f t="shared" si="2"/>
        <v>1633</v>
      </c>
    </row>
    <row r="9" spans="1:7" ht="15.75" thickBot="1" x14ac:dyDescent="0.3">
      <c r="A9" s="15" t="s">
        <v>7</v>
      </c>
      <c r="B9" s="16"/>
      <c r="C9" s="17">
        <f>(((C6/B6)^0.33)-1)</f>
        <v>2.7731473999909717E-2</v>
      </c>
      <c r="D9" s="17">
        <f>(((D6/C6)^0.1)-1)</f>
        <v>2.3868808493907823E-2</v>
      </c>
      <c r="E9" s="17">
        <f t="shared" ref="E9" si="3">(((E6/D6)^0.1)-1)</f>
        <v>1.9234009364685667E-2</v>
      </c>
      <c r="F9" s="17">
        <f>(((F6/E6)^0.2)-1)</f>
        <v>1.6754433383234346E-2</v>
      </c>
      <c r="G9" s="18">
        <f>(((G6/F6)^0.2)-1)</f>
        <v>1.5458759309757486E-2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3">
        <v>0</v>
      </c>
    </row>
    <row r="12" spans="1:7" x14ac:dyDescent="0.25">
      <c r="A12" s="1" t="s">
        <v>10</v>
      </c>
      <c r="B12" s="2">
        <v>73</v>
      </c>
      <c r="C12" s="2">
        <v>78</v>
      </c>
      <c r="D12" s="2">
        <v>95</v>
      </c>
      <c r="E12" s="2">
        <v>111</v>
      </c>
      <c r="F12" s="2">
        <v>119</v>
      </c>
      <c r="G12" s="3">
        <v>127</v>
      </c>
    </row>
    <row r="13" spans="1:7" x14ac:dyDescent="0.25">
      <c r="A13" s="1" t="s">
        <v>11</v>
      </c>
      <c r="B13" s="2">
        <v>136</v>
      </c>
      <c r="C13" s="2">
        <v>150</v>
      </c>
      <c r="D13" s="2">
        <v>193</v>
      </c>
      <c r="E13" s="2">
        <v>235</v>
      </c>
      <c r="F13" s="2">
        <v>255</v>
      </c>
      <c r="G13" s="3">
        <v>275</v>
      </c>
    </row>
    <row r="14" spans="1:7" x14ac:dyDescent="0.25">
      <c r="A14" s="1" t="s">
        <v>12</v>
      </c>
      <c r="B14" s="2">
        <v>134</v>
      </c>
      <c r="C14" s="2">
        <v>141</v>
      </c>
      <c r="D14" s="2">
        <v>164</v>
      </c>
      <c r="E14" s="2">
        <v>186</v>
      </c>
      <c r="F14" s="2">
        <v>197</v>
      </c>
      <c r="G14" s="3">
        <v>208</v>
      </c>
    </row>
    <row r="15" spans="1:7" x14ac:dyDescent="0.25">
      <c r="A15" s="1" t="s">
        <v>13</v>
      </c>
      <c r="B15" s="2">
        <v>299</v>
      </c>
      <c r="C15" s="2">
        <v>308</v>
      </c>
      <c r="D15" s="2">
        <v>332</v>
      </c>
      <c r="E15" s="2">
        <v>354</v>
      </c>
      <c r="F15" s="2">
        <v>363</v>
      </c>
      <c r="G15" s="3">
        <v>372</v>
      </c>
    </row>
    <row r="16" spans="1:7" x14ac:dyDescent="0.25">
      <c r="A16" s="1" t="s">
        <v>14</v>
      </c>
      <c r="B16" s="2">
        <v>294</v>
      </c>
      <c r="C16" s="2">
        <v>300</v>
      </c>
      <c r="D16" s="2">
        <v>326</v>
      </c>
      <c r="E16" s="2">
        <v>347</v>
      </c>
      <c r="F16" s="2">
        <v>356</v>
      </c>
      <c r="G16" s="3">
        <v>365</v>
      </c>
    </row>
    <row r="17" spans="1:7" x14ac:dyDescent="0.25">
      <c r="A17" s="1" t="s">
        <v>15</v>
      </c>
      <c r="B17" s="2">
        <v>94</v>
      </c>
      <c r="C17" s="2">
        <v>100</v>
      </c>
      <c r="D17" s="2">
        <v>116</v>
      </c>
      <c r="E17" s="2">
        <v>129</v>
      </c>
      <c r="F17" s="2">
        <v>137</v>
      </c>
      <c r="G17" s="3">
        <v>145</v>
      </c>
    </row>
    <row r="18" spans="1:7" ht="15.75" thickBot="1" x14ac:dyDescent="0.3">
      <c r="A18" s="1" t="s">
        <v>16</v>
      </c>
      <c r="B18" s="2">
        <v>60</v>
      </c>
      <c r="C18" s="2">
        <v>60</v>
      </c>
      <c r="D18" s="2">
        <v>62</v>
      </c>
      <c r="E18" s="2">
        <v>63</v>
      </c>
      <c r="F18" s="2">
        <v>64</v>
      </c>
      <c r="G18" s="3">
        <v>64</v>
      </c>
    </row>
    <row r="19" spans="1:7" ht="15.75" thickBot="1" x14ac:dyDescent="0.3">
      <c r="A19" s="19" t="s">
        <v>17</v>
      </c>
      <c r="B19" s="20">
        <f>SUM(B11:B18)</f>
        <v>1090</v>
      </c>
      <c r="C19" s="20">
        <f t="shared" ref="C19:G19" si="4">SUM(C11:C18)</f>
        <v>1137</v>
      </c>
      <c r="D19" s="20">
        <f t="shared" si="4"/>
        <v>1288</v>
      </c>
      <c r="E19" s="20">
        <f t="shared" si="4"/>
        <v>1425</v>
      </c>
      <c r="F19" s="20">
        <f t="shared" si="4"/>
        <v>1491</v>
      </c>
      <c r="G19" s="21">
        <f t="shared" si="4"/>
        <v>1556</v>
      </c>
    </row>
    <row r="20" spans="1:7" x14ac:dyDescent="0.25">
      <c r="A20" s="1" t="s">
        <v>18</v>
      </c>
      <c r="B20" s="2"/>
      <c r="C20" s="2">
        <f>C19-B19</f>
        <v>47</v>
      </c>
      <c r="D20" s="2">
        <f t="shared" ref="D20:G20" si="5">D19-C19</f>
        <v>151</v>
      </c>
      <c r="E20" s="2">
        <f t="shared" si="5"/>
        <v>137</v>
      </c>
      <c r="F20" s="2">
        <f t="shared" si="5"/>
        <v>66</v>
      </c>
      <c r="G20" s="3">
        <f t="shared" si="5"/>
        <v>65</v>
      </c>
    </row>
    <row r="21" spans="1:7" ht="15.75" thickBot="1" x14ac:dyDescent="0.3">
      <c r="A21" s="15" t="s">
        <v>19</v>
      </c>
      <c r="B21" s="16"/>
      <c r="C21" s="17">
        <f>(((C19/B19)^0.33)-1)</f>
        <v>1.4028611371909916E-2</v>
      </c>
      <c r="D21" s="17">
        <f>(((D19/C19)^0.1)-1)</f>
        <v>1.2547812687858872E-2</v>
      </c>
      <c r="E21" s="17">
        <f>(((E19/D19)^0.1)-1)</f>
        <v>1.0159378201817226E-2</v>
      </c>
      <c r="F21" s="17">
        <f>(((F19/E19)^0.2)-1)</f>
        <v>9.0961653506462792E-3</v>
      </c>
      <c r="G21" s="18">
        <f>(((G19/F19)^0.2)-1)</f>
        <v>8.5707987640351035E-3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2">
        <v>508</v>
      </c>
      <c r="C23" s="2">
        <v>511</v>
      </c>
      <c r="D23" s="2">
        <v>521</v>
      </c>
      <c r="E23" s="2">
        <v>531</v>
      </c>
      <c r="F23" s="2">
        <v>536</v>
      </c>
      <c r="G23" s="3">
        <v>541</v>
      </c>
    </row>
    <row r="24" spans="1:7" x14ac:dyDescent="0.25">
      <c r="A24" s="1" t="s">
        <v>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3">
        <v>0</v>
      </c>
    </row>
    <row r="25" spans="1:7" ht="15.75" thickBot="1" x14ac:dyDescent="0.3">
      <c r="A25" s="1" t="s">
        <v>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3">
        <v>0</v>
      </c>
    </row>
    <row r="26" spans="1:7" ht="15.75" thickBot="1" x14ac:dyDescent="0.3">
      <c r="A26" s="19" t="s">
        <v>24</v>
      </c>
      <c r="B26" s="33">
        <f>SUM(B23:B25)</f>
        <v>508</v>
      </c>
      <c r="C26" s="33">
        <f t="shared" ref="C26:G26" si="6">SUM(C23:C25)</f>
        <v>511</v>
      </c>
      <c r="D26" s="33">
        <f t="shared" si="6"/>
        <v>521</v>
      </c>
      <c r="E26" s="33">
        <f t="shared" si="6"/>
        <v>531</v>
      </c>
      <c r="F26" s="33">
        <f t="shared" si="6"/>
        <v>536</v>
      </c>
      <c r="G26" s="35">
        <f t="shared" si="6"/>
        <v>541</v>
      </c>
    </row>
    <row r="27" spans="1:7" x14ac:dyDescent="0.25">
      <c r="A27" s="1" t="s">
        <v>25</v>
      </c>
      <c r="B27" s="2"/>
      <c r="C27" s="2">
        <f>C26-B26</f>
        <v>3</v>
      </c>
      <c r="D27" s="2">
        <f t="shared" ref="D27:G27" si="7">D26-C26</f>
        <v>10</v>
      </c>
      <c r="E27" s="2">
        <f t="shared" si="7"/>
        <v>10</v>
      </c>
      <c r="F27" s="2">
        <f t="shared" si="7"/>
        <v>5</v>
      </c>
      <c r="G27" s="3">
        <f t="shared" si="7"/>
        <v>5</v>
      </c>
    </row>
    <row r="28" spans="1:7" ht="30.75" thickBot="1" x14ac:dyDescent="0.3">
      <c r="A28" s="15" t="s">
        <v>26</v>
      </c>
      <c r="B28" s="16"/>
      <c r="C28" s="36">
        <f>(((C26/B26)^0.33)-1)</f>
        <v>1.9449760833070151E-3</v>
      </c>
      <c r="D28" s="36">
        <f>(((D26/C26)^0.1)-1)</f>
        <v>1.9399243782880493E-3</v>
      </c>
      <c r="E28" s="36">
        <f>(((E26/D26)^0.1)-1)</f>
        <v>1.9030063715523848E-3</v>
      </c>
      <c r="F28" s="36">
        <f>(((F26/E26)^0.2)-1)</f>
        <v>1.8761858040141632E-3</v>
      </c>
      <c r="G28" s="37">
        <f>(((G26/F26)^0.2)-1)</f>
        <v>1.8587488912094052E-3</v>
      </c>
    </row>
    <row r="29" spans="1:7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Anson3.1</vt:lpstr>
      <vt:lpstr>Cabarrus3.2</vt:lpstr>
      <vt:lpstr>Rowan3.3</vt:lpstr>
      <vt:lpstr>Iredell3.4</vt:lpstr>
      <vt:lpstr>Mecklenburg3.5</vt:lpstr>
      <vt:lpstr>Union3.6</vt:lpstr>
      <vt:lpstr>Stanly3.7</vt:lpstr>
      <vt:lpstr>Cleveland3.8</vt:lpstr>
      <vt:lpstr>Gaston3.9</vt:lpstr>
      <vt:lpstr>Lincoln3.10</vt:lpstr>
      <vt:lpstr>Lancaster3.11</vt:lpstr>
      <vt:lpstr>York3.12</vt:lpstr>
      <vt:lpstr>Catawba3.13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Parvez, Dewan Ashraful</dc:creator>
  <cp:lastModifiedBy>Parvez, Dewan Ashraful</cp:lastModifiedBy>
  <dcterms:created xsi:type="dcterms:W3CDTF">2025-10-09T13:21:32Z</dcterms:created>
  <dcterms:modified xsi:type="dcterms:W3CDTF">2025-11-04T15:44:11Z</dcterms:modified>
</cp:coreProperties>
</file>